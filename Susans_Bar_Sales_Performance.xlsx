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DELL\Documents\Portfolio\Susans_bar_project\Data\Cleaned data\"/>
    </mc:Choice>
  </mc:AlternateContent>
  <xr:revisionPtr revIDLastSave="0" documentId="8_{8A831702-4A3C-415D-A911-8F867522C342}" xr6:coauthVersionLast="47" xr6:coauthVersionMax="47" xr10:uidLastSave="{00000000-0000-0000-0000-000000000000}"/>
  <bookViews>
    <workbookView xWindow="-110" yWindow="-110" windowWidth="19420" windowHeight="11020" activeTab="1" xr2:uid="{00000000-000D-0000-FFFF-FFFF00000000}"/>
  </bookViews>
  <sheets>
    <sheet name="Analysis" sheetId="5" r:id="rId1"/>
    <sheet name="Data" sheetId="2" r:id="rId2"/>
    <sheet name="Dashboard" sheetId="4" r:id="rId3"/>
  </sheets>
  <externalReferences>
    <externalReference r:id="rId4"/>
  </externalReferences>
  <definedNames>
    <definedName name="COST">[1]CALCULATIONS!$C$12</definedName>
    <definedName name="dateee">[1]CALCULATIONS!$C$2</definedName>
    <definedName name="ExternalData_1" localSheetId="1" hidden="1">Data!$A$1:$J$301</definedName>
    <definedName name="PROFIT">[1]CALCULATIONS!$C$13</definedName>
    <definedName name="QTYY">[1]CALCULATIONS!$C$11</definedName>
    <definedName name="SALES">[1]CALCULATIONS!$C$10</definedName>
    <definedName name="Slicer_Category">#N/A</definedName>
    <definedName name="YOYCOST">[1]CALCULATIONS!$F$12</definedName>
    <definedName name="YOYPROFIT">[1]CALCULATIONS!$F$13</definedName>
    <definedName name="YOYQTY">[1]CALCULATIONS!$F$11</definedName>
    <definedName name="YOYSALES">[1]CALCULATIONS!$F$10</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9" i="5" l="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C10" i="5"/>
  <c r="C11" i="5"/>
  <c r="C9" i="5"/>
  <c r="B9" i="5"/>
  <c r="B10" i="5"/>
  <c r="B8" i="5"/>
  <c r="C8" i="5"/>
  <c r="B11" i="5"/>
  <c r="D9" i="5" l="1"/>
  <c r="E9" i="5" s="1"/>
  <c r="D10" i="5"/>
  <c r="E10" i="5" s="1"/>
  <c r="D11" i="5"/>
  <c r="E11" i="5" s="1"/>
  <c r="D8" i="5"/>
  <c r="E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<sst xmlns="http://schemas.openxmlformats.org/spreadsheetml/2006/main" count="1595" uniqueCount="361">
  <si>
    <t>Order ID</t>
  </si>
  <si>
    <t>Date</t>
  </si>
  <si>
    <t>Category</t>
  </si>
  <si>
    <t>Product</t>
  </si>
  <si>
    <t>Branch</t>
  </si>
  <si>
    <t>Quantity</t>
  </si>
  <si>
    <t>Cost</t>
  </si>
  <si>
    <t>Sales</t>
  </si>
  <si>
    <t>SBAR0001</t>
  </si>
  <si>
    <t>Drink</t>
  </si>
  <si>
    <t>Palm Wine</t>
  </si>
  <si>
    <t>Ikeja</t>
  </si>
  <si>
    <t>SBAR0002</t>
  </si>
  <si>
    <t>Food</t>
  </si>
  <si>
    <t>Grilled Fish</t>
  </si>
  <si>
    <t>Yaba</t>
  </si>
  <si>
    <t>SBAR0003</t>
  </si>
  <si>
    <t>Snacks</t>
  </si>
  <si>
    <t>Small Chops</t>
  </si>
  <si>
    <t>Victoria Island</t>
  </si>
  <si>
    <t>SBAR0004</t>
  </si>
  <si>
    <t>Pepper Soup</t>
  </si>
  <si>
    <t>SBAR0005</t>
  </si>
  <si>
    <t>SBAR0006</t>
  </si>
  <si>
    <t>SBAR0007</t>
  </si>
  <si>
    <t>SBAR0008</t>
  </si>
  <si>
    <t>SBAR0009</t>
  </si>
  <si>
    <t>Red Wine</t>
  </si>
  <si>
    <t>SBAR0010</t>
  </si>
  <si>
    <t>Whiskey Shot</t>
  </si>
  <si>
    <t>SBAR0011</t>
  </si>
  <si>
    <t>SBAR0012</t>
  </si>
  <si>
    <t>SBAR0013</t>
  </si>
  <si>
    <t>Lekki</t>
  </si>
  <si>
    <t>SBAR0014</t>
  </si>
  <si>
    <t>Bottle Beer</t>
  </si>
  <si>
    <t>SBAR0015</t>
  </si>
  <si>
    <t>SBAR0016</t>
  </si>
  <si>
    <t>SBAR0017</t>
  </si>
  <si>
    <t>SBAR0018</t>
  </si>
  <si>
    <t>SBAR0019</t>
  </si>
  <si>
    <t>SBAR0020</t>
  </si>
  <si>
    <t>SBAR0021</t>
  </si>
  <si>
    <t>SBAR0022</t>
  </si>
  <si>
    <t>SBAR0023</t>
  </si>
  <si>
    <t>SBAR0024</t>
  </si>
  <si>
    <t>SBAR0025</t>
  </si>
  <si>
    <t>SBAR0026</t>
  </si>
  <si>
    <t>SBAR0027</t>
  </si>
  <si>
    <t>SBAR0028</t>
  </si>
  <si>
    <t>SBAR0029</t>
  </si>
  <si>
    <t>SBAR0030</t>
  </si>
  <si>
    <t>SBAR0031</t>
  </si>
  <si>
    <t>SBAR0032</t>
  </si>
  <si>
    <t>SBAR0033</t>
  </si>
  <si>
    <t>SBAR0034</t>
  </si>
  <si>
    <t>SBAR0035</t>
  </si>
  <si>
    <t>SBAR0036</t>
  </si>
  <si>
    <t>SBAR0037</t>
  </si>
  <si>
    <t>SBAR0038</t>
  </si>
  <si>
    <t>SBAR0039</t>
  </si>
  <si>
    <t>SBAR0040</t>
  </si>
  <si>
    <t>SBAR0041</t>
  </si>
  <si>
    <t>Suya</t>
  </si>
  <si>
    <t>SBAR0042</t>
  </si>
  <si>
    <t>SBAR0043</t>
  </si>
  <si>
    <t>SBAR0044</t>
  </si>
  <si>
    <t>SBAR0045</t>
  </si>
  <si>
    <t>SBAR0046</t>
  </si>
  <si>
    <t>SBAR0047</t>
  </si>
  <si>
    <t>SBAR0048</t>
  </si>
  <si>
    <t>SBAR0049</t>
  </si>
  <si>
    <t>SBAR0050</t>
  </si>
  <si>
    <t>SBAR0051</t>
  </si>
  <si>
    <t>SBAR0052</t>
  </si>
  <si>
    <t>SBAR0053</t>
  </si>
  <si>
    <t>SBAR0054</t>
  </si>
  <si>
    <t>SBAR0055</t>
  </si>
  <si>
    <t>SBAR0056</t>
  </si>
  <si>
    <t>SBAR0057</t>
  </si>
  <si>
    <t>SBAR0058</t>
  </si>
  <si>
    <t>SBAR0059</t>
  </si>
  <si>
    <t>SBAR0060</t>
  </si>
  <si>
    <t>SBAR0061</t>
  </si>
  <si>
    <t>SBAR0062</t>
  </si>
  <si>
    <t>SBAR0063</t>
  </si>
  <si>
    <t>SBAR0064</t>
  </si>
  <si>
    <t>SBAR0065</t>
  </si>
  <si>
    <t>SBAR0066</t>
  </si>
  <si>
    <t>SBAR0067</t>
  </si>
  <si>
    <t>SBAR0068</t>
  </si>
  <si>
    <t>SBAR0069</t>
  </si>
  <si>
    <t>SBAR0070</t>
  </si>
  <si>
    <t>SBAR0071</t>
  </si>
  <si>
    <t>SBAR0072</t>
  </si>
  <si>
    <t>SBAR0073</t>
  </si>
  <si>
    <t>SBAR0074</t>
  </si>
  <si>
    <t>SBAR0075</t>
  </si>
  <si>
    <t>SBAR0076</t>
  </si>
  <si>
    <t>SBAR0077</t>
  </si>
  <si>
    <t>SBAR0078</t>
  </si>
  <si>
    <t>SBAR0079</t>
  </si>
  <si>
    <t>SBAR0080</t>
  </si>
  <si>
    <t>SBAR0081</t>
  </si>
  <si>
    <t>SBAR0082</t>
  </si>
  <si>
    <t>SBAR0083</t>
  </si>
  <si>
    <t>SBAR0084</t>
  </si>
  <si>
    <t>SBAR0085</t>
  </si>
  <si>
    <t>SBAR0086</t>
  </si>
  <si>
    <t>SBAR0087</t>
  </si>
  <si>
    <t>SBAR0088</t>
  </si>
  <si>
    <t>SBAR0089</t>
  </si>
  <si>
    <t>SBAR0090</t>
  </si>
  <si>
    <t>SBAR0091</t>
  </si>
  <si>
    <t>SBAR0092</t>
  </si>
  <si>
    <t>SBAR0093</t>
  </si>
  <si>
    <t>SBAR0094</t>
  </si>
  <si>
    <t>SBAR0095</t>
  </si>
  <si>
    <t>SBAR0096</t>
  </si>
  <si>
    <t>SBAR0097</t>
  </si>
  <si>
    <t>SBAR0098</t>
  </si>
  <si>
    <t>SBAR0099</t>
  </si>
  <si>
    <t>SBAR0100</t>
  </si>
  <si>
    <t>SBAR0101</t>
  </si>
  <si>
    <t>SBAR0102</t>
  </si>
  <si>
    <t>SBAR0103</t>
  </si>
  <si>
    <t>SBAR0104</t>
  </si>
  <si>
    <t>SBAR0105</t>
  </si>
  <si>
    <t>SBAR0106</t>
  </si>
  <si>
    <t>SBAR0107</t>
  </si>
  <si>
    <t>SBAR0108</t>
  </si>
  <si>
    <t>SBAR0109</t>
  </si>
  <si>
    <t>SBAR0110</t>
  </si>
  <si>
    <t>SBAR0111</t>
  </si>
  <si>
    <t>SBAR0112</t>
  </si>
  <si>
    <t>SBAR0113</t>
  </si>
  <si>
    <t>SBAR0114</t>
  </si>
  <si>
    <t>SBAR0115</t>
  </si>
  <si>
    <t>SBAR0116</t>
  </si>
  <si>
    <t>SBAR0117</t>
  </si>
  <si>
    <t>SBAR0118</t>
  </si>
  <si>
    <t>SBAR0119</t>
  </si>
  <si>
    <t>SBAR0120</t>
  </si>
  <si>
    <t>SBAR0121</t>
  </si>
  <si>
    <t>SBAR0122</t>
  </si>
  <si>
    <t>SBAR0123</t>
  </si>
  <si>
    <t>SBAR0124</t>
  </si>
  <si>
    <t>SBAR0125</t>
  </si>
  <si>
    <t>SBAR0126</t>
  </si>
  <si>
    <t>SBAR0127</t>
  </si>
  <si>
    <t>SBAR0128</t>
  </si>
  <si>
    <t>SBAR0129</t>
  </si>
  <si>
    <t>SBAR0130</t>
  </si>
  <si>
    <t>SBAR0131</t>
  </si>
  <si>
    <t>SBAR0132</t>
  </si>
  <si>
    <t>SBAR0133</t>
  </si>
  <si>
    <t>SBAR0134</t>
  </si>
  <si>
    <t>SBAR0135</t>
  </si>
  <si>
    <t>SBAR0136</t>
  </si>
  <si>
    <t>SBAR0137</t>
  </si>
  <si>
    <t>SBAR0138</t>
  </si>
  <si>
    <t>SBAR0139</t>
  </si>
  <si>
    <t>SBAR0140</t>
  </si>
  <si>
    <t>SBAR0141</t>
  </si>
  <si>
    <t>SBAR0142</t>
  </si>
  <si>
    <t>SBAR0143</t>
  </si>
  <si>
    <t>SBAR0144</t>
  </si>
  <si>
    <t>SBAR0145</t>
  </si>
  <si>
    <t>SBAR0146</t>
  </si>
  <si>
    <t>SBAR0147</t>
  </si>
  <si>
    <t>SBAR0148</t>
  </si>
  <si>
    <t>SBAR0149</t>
  </si>
  <si>
    <t>SBAR0150</t>
  </si>
  <si>
    <t>SBAR0151</t>
  </si>
  <si>
    <t>SBAR0152</t>
  </si>
  <si>
    <t>SBAR0153</t>
  </si>
  <si>
    <t>SBAR0154</t>
  </si>
  <si>
    <t>SBAR0155</t>
  </si>
  <si>
    <t>SBAR0156</t>
  </si>
  <si>
    <t>SBAR0157</t>
  </si>
  <si>
    <t>SBAR0158</t>
  </si>
  <si>
    <t>SBAR0159</t>
  </si>
  <si>
    <t>SBAR0160</t>
  </si>
  <si>
    <t>SBAR0161</t>
  </si>
  <si>
    <t>SBAR0162</t>
  </si>
  <si>
    <t>SBAR0163</t>
  </si>
  <si>
    <t>SBAR0164</t>
  </si>
  <si>
    <t>SBAR0165</t>
  </si>
  <si>
    <t>SBAR0166</t>
  </si>
  <si>
    <t>SBAR0167</t>
  </si>
  <si>
    <t>SBAR0168</t>
  </si>
  <si>
    <t>SBAR0169</t>
  </si>
  <si>
    <t>SBAR0170</t>
  </si>
  <si>
    <t>SBAR0171</t>
  </si>
  <si>
    <t>SBAR0172</t>
  </si>
  <si>
    <t>SBAR0173</t>
  </si>
  <si>
    <t>SBAR0174</t>
  </si>
  <si>
    <t>SBAR0175</t>
  </si>
  <si>
    <t>SBAR0176</t>
  </si>
  <si>
    <t>SBAR0177</t>
  </si>
  <si>
    <t>SBAR0178</t>
  </si>
  <si>
    <t>SBAR0179</t>
  </si>
  <si>
    <t>SBAR0180</t>
  </si>
  <si>
    <t>SBAR0181</t>
  </si>
  <si>
    <t>SBAR0182</t>
  </si>
  <si>
    <t>SBAR0183</t>
  </si>
  <si>
    <t>SBAR0184</t>
  </si>
  <si>
    <t>SBAR0185</t>
  </si>
  <si>
    <t>SBAR0186</t>
  </si>
  <si>
    <t>SBAR0187</t>
  </si>
  <si>
    <t>SBAR0188</t>
  </si>
  <si>
    <t>SBAR0189</t>
  </si>
  <si>
    <t>SBAR0190</t>
  </si>
  <si>
    <t>SBAR0191</t>
  </si>
  <si>
    <t>SBAR0192</t>
  </si>
  <si>
    <t>SBAR0193</t>
  </si>
  <si>
    <t>SBAR0194</t>
  </si>
  <si>
    <t>SBAR0195</t>
  </si>
  <si>
    <t>SBAR0196</t>
  </si>
  <si>
    <t>SBAR0197</t>
  </si>
  <si>
    <t>SBAR0198</t>
  </si>
  <si>
    <t>SBAR0199</t>
  </si>
  <si>
    <t>SBAR0200</t>
  </si>
  <si>
    <t>SBAR0201</t>
  </si>
  <si>
    <t>SBAR0202</t>
  </si>
  <si>
    <t>SBAR0203</t>
  </si>
  <si>
    <t>SBAR0204</t>
  </si>
  <si>
    <t>SBAR0205</t>
  </si>
  <si>
    <t>SBAR0206</t>
  </si>
  <si>
    <t>SBAR0207</t>
  </si>
  <si>
    <t>SBAR0208</t>
  </si>
  <si>
    <t>SBAR0209</t>
  </si>
  <si>
    <t>SBAR0210</t>
  </si>
  <si>
    <t>SBAR0211</t>
  </si>
  <si>
    <t>SBAR0212</t>
  </si>
  <si>
    <t>SBAR0213</t>
  </si>
  <si>
    <t>SBAR0214</t>
  </si>
  <si>
    <t>SBAR0215</t>
  </si>
  <si>
    <t>SBAR0216</t>
  </si>
  <si>
    <t>SBAR0217</t>
  </si>
  <si>
    <t>SBAR0218</t>
  </si>
  <si>
    <t>SBAR0219</t>
  </si>
  <si>
    <t>SBAR0220</t>
  </si>
  <si>
    <t>SBAR0221</t>
  </si>
  <si>
    <t>SBAR0222</t>
  </si>
  <si>
    <t>SBAR0223</t>
  </si>
  <si>
    <t>SBAR0224</t>
  </si>
  <si>
    <t>SBAR0225</t>
  </si>
  <si>
    <t>SBAR0226</t>
  </si>
  <si>
    <t>SBAR0227</t>
  </si>
  <si>
    <t>SBAR0228</t>
  </si>
  <si>
    <t>SBAR0229</t>
  </si>
  <si>
    <t>SBAR0230</t>
  </si>
  <si>
    <t>SBAR0231</t>
  </si>
  <si>
    <t>SBAR0232</t>
  </si>
  <si>
    <t>SBAR0233</t>
  </si>
  <si>
    <t>SBAR0234</t>
  </si>
  <si>
    <t>SBAR0235</t>
  </si>
  <si>
    <t>SBAR0236</t>
  </si>
  <si>
    <t>SBAR0237</t>
  </si>
  <si>
    <t>SBAR0238</t>
  </si>
  <si>
    <t>SBAR0239</t>
  </si>
  <si>
    <t>SBAR0240</t>
  </si>
  <si>
    <t>SBAR0241</t>
  </si>
  <si>
    <t>SBAR0242</t>
  </si>
  <si>
    <t>SBAR0243</t>
  </si>
  <si>
    <t>SBAR0244</t>
  </si>
  <si>
    <t>SBAR0245</t>
  </si>
  <si>
    <t>SBAR0246</t>
  </si>
  <si>
    <t>SBAR0247</t>
  </si>
  <si>
    <t>SBAR0248</t>
  </si>
  <si>
    <t>SBAR0249</t>
  </si>
  <si>
    <t>SBAR0250</t>
  </si>
  <si>
    <t>SBAR0251</t>
  </si>
  <si>
    <t>SBAR0252</t>
  </si>
  <si>
    <t>SBAR0253</t>
  </si>
  <si>
    <t>SBAR0254</t>
  </si>
  <si>
    <t>SBAR0255</t>
  </si>
  <si>
    <t>SBAR0256</t>
  </si>
  <si>
    <t>SBAR0257</t>
  </si>
  <si>
    <t>SBAR0258</t>
  </si>
  <si>
    <t>SBAR0259</t>
  </si>
  <si>
    <t>SBAR0260</t>
  </si>
  <si>
    <t>SBAR0261</t>
  </si>
  <si>
    <t>SBAR0262</t>
  </si>
  <si>
    <t>SBAR0263</t>
  </si>
  <si>
    <t>SBAR0264</t>
  </si>
  <si>
    <t>SBAR0265</t>
  </si>
  <si>
    <t>SBAR0266</t>
  </si>
  <si>
    <t>SBAR0267</t>
  </si>
  <si>
    <t>SBAR0268</t>
  </si>
  <si>
    <t>SBAR0269</t>
  </si>
  <si>
    <t>SBAR0270</t>
  </si>
  <si>
    <t>SBAR0271</t>
  </si>
  <si>
    <t>SBAR0272</t>
  </si>
  <si>
    <t>SBAR0273</t>
  </si>
  <si>
    <t>SBAR0274</t>
  </si>
  <si>
    <t>SBAR0275</t>
  </si>
  <si>
    <t>SBAR0276</t>
  </si>
  <si>
    <t>SBAR0277</t>
  </si>
  <si>
    <t>SBAR0278</t>
  </si>
  <si>
    <t>SBAR0279</t>
  </si>
  <si>
    <t>SBAR0280</t>
  </si>
  <si>
    <t>SBAR0281</t>
  </si>
  <si>
    <t>SBAR0282</t>
  </si>
  <si>
    <t>SBAR0283</t>
  </si>
  <si>
    <t>SBAR0284</t>
  </si>
  <si>
    <t>SBAR0285</t>
  </si>
  <si>
    <t>SBAR0286</t>
  </si>
  <si>
    <t>SBAR0287</t>
  </si>
  <si>
    <t>SBAR0288</t>
  </si>
  <si>
    <t>SBAR0289</t>
  </si>
  <si>
    <t>SBAR0290</t>
  </si>
  <si>
    <t>SBAR0291</t>
  </si>
  <si>
    <t>SBAR0292</t>
  </si>
  <si>
    <t>SBAR0293</t>
  </si>
  <si>
    <t>SBAR0294</t>
  </si>
  <si>
    <t>SBAR0295</t>
  </si>
  <si>
    <t>SBAR0296</t>
  </si>
  <si>
    <t>SBAR0297</t>
  </si>
  <si>
    <t>SBAR0298</t>
  </si>
  <si>
    <t>SBAR0299</t>
  </si>
  <si>
    <t>SBAR0300</t>
  </si>
  <si>
    <t>Month</t>
  </si>
  <si>
    <t>Year</t>
  </si>
  <si>
    <t>Oct</t>
  </si>
  <si>
    <t>Apr</t>
  </si>
  <si>
    <t>Jan</t>
  </si>
  <si>
    <t>Sep</t>
  </si>
  <si>
    <t>Aug</t>
  </si>
  <si>
    <t>May</t>
  </si>
  <si>
    <t>Nov</t>
  </si>
  <si>
    <t>Jul</t>
  </si>
  <si>
    <t>Mar</t>
  </si>
  <si>
    <t>Feb</t>
  </si>
  <si>
    <t>Jun</t>
  </si>
  <si>
    <t>Dec</t>
  </si>
  <si>
    <t>Row Labels</t>
  </si>
  <si>
    <t>Grand Total</t>
  </si>
  <si>
    <t>Sum of Quantity</t>
  </si>
  <si>
    <t>Sum of Cost</t>
  </si>
  <si>
    <t>Sum of Sales</t>
  </si>
  <si>
    <t>Profit</t>
  </si>
  <si>
    <t>Sum of Profit</t>
  </si>
  <si>
    <t>KEY PERFORMANCE INDICATORS</t>
  </si>
  <si>
    <t>CY</t>
  </si>
  <si>
    <t>PY</t>
  </si>
  <si>
    <t>YOY</t>
  </si>
  <si>
    <t>SALES</t>
  </si>
  <si>
    <t>QTY</t>
  </si>
  <si>
    <t>COST</t>
  </si>
  <si>
    <t>PROFIT</t>
  </si>
  <si>
    <t>MONTHLY SALES TREND</t>
  </si>
  <si>
    <t>Column Labels</t>
  </si>
  <si>
    <t>Qtr1</t>
  </si>
  <si>
    <t>Qtr2</t>
  </si>
  <si>
    <t>Qtr3</t>
  </si>
  <si>
    <t>Qtr4</t>
  </si>
  <si>
    <t>QUANTITY</t>
  </si>
  <si>
    <t>PROODUCT SALES</t>
  </si>
  <si>
    <t>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</si>
</sst>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0,,&quot;M&quot;;[&gt;=1000]&quot;$&quot;0.0,&quot;k&quot;;&quot;$&quot;0"/>
    <numFmt numFmtId="165" formatCode="[$-F800]dddd\,\ mmmm\ dd\,\ 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5" tint="-0.499984740745262"/>
      <name val="Calibri"/>
      <family val="2"/>
      <scheme val="minor"/>
    </font>
    <font>
      <sz val="11"/>
      <color theme="5" tint="-0.499984740745262"/>
      <name val="Calibri"/>
      <family val="2"/>
      <scheme val="minor"/>
    </font>
    <font>
      <sz val="11"/>
      <color theme="5" tint="0.7999816888943144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rgb="FF32190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1" applyFont="1"/>
    <xf numFmtId="14" fontId="0" fillId="0" borderId="0" xfId="0" applyNumberFormat="1" applyAlignment="1">
      <alignment horizontal="left"/>
    </xf>
    <xf numFmtId="164" fontId="0" fillId="0" borderId="0" xfId="0" applyNumberFormat="1"/>
    <xf numFmtId="165" fontId="0" fillId="0" borderId="0" xfId="0" applyNumberFormat="1"/>
    <xf numFmtId="0" fontId="20" fillId="34" borderId="0" xfId="0" applyFont="1" applyFill="1"/>
    <xf numFmtId="0" fontId="18" fillId="33" borderId="0" xfId="0" applyFont="1" applyFill="1" applyAlignment="1">
      <alignment horizontal="center"/>
    </xf>
    <xf numFmtId="0" fontId="19"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numFmt numFmtId="164" formatCode="[&gt;=1000000]&quot;$&quot;0.0,,&quot;M&quot;;[&gt;=1000]&quot;$&quot;0.0,&quot;k&quot;;&quot;$&quot;0"/>
    </dxf>
    <dxf>
      <font>
        <b val="0"/>
        <i val="0"/>
      </font>
      <fill>
        <patternFill>
          <bgColor theme="5" tint="-0.499984740745262"/>
        </patternFill>
      </fill>
      <border diagonalUp="0" diagonalDown="0">
        <left style="thin">
          <color auto="1"/>
        </left>
        <right style="thin">
          <color auto="1"/>
        </right>
        <top style="thin">
          <color auto="1"/>
        </top>
        <bottom style="thin">
          <color auto="1"/>
        </bottom>
        <vertical/>
        <horizontal/>
      </border>
    </dxf>
    <dxf>
      <font>
        <b/>
        <color theme="1"/>
      </font>
      <border>
        <bottom style="thin">
          <color theme="0" tint="-0.34998626667073579"/>
        </bottom>
        <vertical/>
        <horizontal/>
      </border>
    </dxf>
    <dxf>
      <font>
        <color theme="1"/>
      </font>
      <fill>
        <patternFill>
          <bgColor rgb="FF000D0E"/>
        </patternFill>
      </fill>
      <border diagonalUp="0" diagonalDown="0">
        <left/>
        <right/>
        <top/>
        <bottom/>
        <vertical/>
        <horizontal/>
      </border>
    </dxf>
  </dxfs>
  <tableStyles count="2" defaultTableStyle="TableStyleMedium2" defaultPivotStyle="PivotStyleLight16">
    <tableStyle name="DARK" pivot="0" table="0" count="10" xr9:uid="{00000000-0011-0000-FFFF-FFFF00000000}">
      <tableStyleElement type="wholeTable" dxfId="15"/>
      <tableStyleElement type="headerRow" dxfId="14"/>
    </tableStyle>
    <tableStyle name="Slicer Style 1" pivot="0" table="0" count="5" xr9:uid="{337234B7-8008-487B-ADCD-69175AD51E4C}">
      <tableStyleElement type="wholeTable" dxfId="13"/>
    </tableStyle>
  </tableStyles>
  <colors>
    <mruColors>
      <color rgb="FF562A06"/>
      <color rgb="FFA5510B"/>
      <color rgb="FF432105"/>
      <color rgb="FF321904"/>
      <color rgb="FFFFFFFF"/>
      <color rgb="FF84410A"/>
      <color rgb="FFFDF0E9"/>
      <color rgb="FFD16811"/>
      <color rgb="FFF4A478"/>
      <color rgb="FFF8C3A6"/>
    </mruColors>
  </colors>
  <extLst>
    <ext xmlns:x14="http://schemas.microsoft.com/office/spreadsheetml/2009/9/main" uri="{46F421CA-312F-682f-3DD2-61675219B42D}">
      <x14:dxfs count="12">
        <dxf>
          <font>
            <sz val="14"/>
            <color theme="1" tint="0.24994659260841701"/>
          </font>
          <fill>
            <patternFill>
              <bgColor theme="0" tint="-0.14996795556505021"/>
            </patternFill>
          </fill>
        </dxf>
        <dxf>
          <font>
            <sz val="12"/>
            <color theme="1" tint="0.24994659260841701"/>
          </font>
          <fill>
            <patternFill>
              <bgColor theme="0" tint="-0.14996795556505021"/>
            </patternFill>
          </fill>
        </dxf>
        <dxf>
          <font>
            <b/>
            <i val="0"/>
            <sz val="16"/>
            <color theme="1" tint="4.9989318521683403E-2"/>
          </font>
          <fill>
            <patternFill>
              <fgColor theme="5" tint="0.39988402966399123"/>
              <bgColor theme="0" tint="-4.9989318521683403E-2"/>
            </patternFill>
          </fill>
        </dxf>
        <dxf>
          <font>
            <b/>
            <i val="0"/>
            <sz val="14"/>
            <color theme="1" tint="4.9989318521683403E-2"/>
          </font>
          <fill>
            <patternFill>
              <bgColor theme="0" tint="-4.9989318521683403E-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val="0"/>
            <i val="0"/>
            <sz val="10"/>
            <color rgb="FFCBD6D7"/>
          </font>
          <fill>
            <patternFill patternType="solid">
              <fgColor theme="0" tint="-0.249977111117893"/>
              <bgColor rgb="FF001C1F"/>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10"/>
            <color rgb="FF000D0E"/>
          </font>
          <fill>
            <patternFill patternType="solid">
              <fgColor theme="0"/>
              <bgColor rgb="FF5FC4AE"/>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RK">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551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62A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Analysis!$R$3:$R$4</c:f>
              <c:strCache>
                <c:ptCount val="1"/>
                <c:pt idx="0">
                  <c:v>2024</c:v>
                </c:pt>
              </c:strCache>
            </c:strRef>
          </c:tx>
          <c:spPr>
            <a:solidFill>
              <a:srgbClr val="A5510B"/>
            </a:solidFill>
            <a:ln>
              <a:noFill/>
            </a:ln>
            <a:effectLst/>
          </c:spPr>
          <c:invertIfNegative val="0"/>
          <c:cat>
            <c:strRef>
              <c:f>Analysis!$Q$5:$Q$9</c:f>
              <c:strCache>
                <c:ptCount val="4"/>
                <c:pt idx="0">
                  <c:v>Ikeja</c:v>
                </c:pt>
                <c:pt idx="1">
                  <c:v>Lekki</c:v>
                </c:pt>
                <c:pt idx="2">
                  <c:v>Victoria Island</c:v>
                </c:pt>
                <c:pt idx="3">
                  <c:v>Yaba</c:v>
                </c:pt>
              </c:strCache>
            </c:strRef>
          </c:cat>
          <c:val>
            <c:numRef>
              <c:f>Analysis!$R$5:$R$9</c:f>
              <c:numCache>
                <c:formatCode>General</c:formatCode>
                <c:ptCount val="4"/>
                <c:pt idx="0">
                  <c:v>45900</c:v>
                </c:pt>
                <c:pt idx="1">
                  <c:v>64600</c:v>
                </c:pt>
                <c:pt idx="2">
                  <c:v>18400</c:v>
                </c:pt>
                <c:pt idx="3">
                  <c:v>56300</c:v>
                </c:pt>
              </c:numCache>
            </c:numRef>
          </c:val>
          <c:extLst>
            <c:ext xmlns:c16="http://schemas.microsoft.com/office/drawing/2014/chart" uri="{C3380CC4-5D6E-409C-BE32-E72D297353CC}">
              <c16:uniqueId val="{00000000-D054-420C-B887-7C2679E0A6B9}"/>
            </c:ext>
          </c:extLst>
        </c:ser>
        <c:ser>
          <c:idx val="1"/>
          <c:order val="1"/>
          <c:tx>
            <c:strRef>
              <c:f>Analysis!$S$3:$S$4</c:f>
              <c:strCache>
                <c:ptCount val="1"/>
                <c:pt idx="0">
                  <c:v>2025</c:v>
                </c:pt>
              </c:strCache>
            </c:strRef>
          </c:tx>
          <c:spPr>
            <a:solidFill>
              <a:srgbClr val="562A06"/>
            </a:solidFill>
            <a:ln>
              <a:noFill/>
            </a:ln>
            <a:effectLst/>
          </c:spPr>
          <c:invertIfNegative val="0"/>
          <c:cat>
            <c:strRef>
              <c:f>Analysis!$Q$5:$Q$9</c:f>
              <c:strCache>
                <c:ptCount val="4"/>
                <c:pt idx="0">
                  <c:v>Ikeja</c:v>
                </c:pt>
                <c:pt idx="1">
                  <c:v>Lekki</c:v>
                </c:pt>
                <c:pt idx="2">
                  <c:v>Victoria Island</c:v>
                </c:pt>
                <c:pt idx="3">
                  <c:v>Yaba</c:v>
                </c:pt>
              </c:strCache>
            </c:strRef>
          </c:cat>
          <c:val>
            <c:numRef>
              <c:f>Analysis!$S$5:$S$9</c:f>
              <c:numCache>
                <c:formatCode>General</c:formatCode>
                <c:ptCount val="4"/>
                <c:pt idx="0">
                  <c:v>58900</c:v>
                </c:pt>
                <c:pt idx="1">
                  <c:v>96400</c:v>
                </c:pt>
                <c:pt idx="2">
                  <c:v>77700</c:v>
                </c:pt>
                <c:pt idx="3">
                  <c:v>60200</c:v>
                </c:pt>
              </c:numCache>
            </c:numRef>
          </c:val>
          <c:extLst>
            <c:ext xmlns:c16="http://schemas.microsoft.com/office/drawing/2014/chart" uri="{C3380CC4-5D6E-409C-BE32-E72D297353CC}">
              <c16:uniqueId val="{00000001-D054-420C-B887-7C2679E0A6B9}"/>
            </c:ext>
          </c:extLst>
        </c:ser>
        <c:dLbls>
          <c:showLegendKey val="0"/>
          <c:showVal val="0"/>
          <c:showCatName val="0"/>
          <c:showSerName val="0"/>
          <c:showPercent val="0"/>
          <c:showBubbleSize val="0"/>
        </c:dLbls>
        <c:gapWidth val="84"/>
        <c:overlap val="30"/>
        <c:axId val="919873840"/>
        <c:axId val="919877168"/>
      </c:barChart>
      <c:catAx>
        <c:axId val="91987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32105"/>
                </a:solidFill>
                <a:latin typeface="+mn-lt"/>
                <a:ea typeface="+mn-ea"/>
                <a:cs typeface="+mn-cs"/>
              </a:defRPr>
            </a:pPr>
            <a:endParaRPr lang="en-US"/>
          </a:p>
        </c:txPr>
        <c:crossAx val="919877168"/>
        <c:crosses val="autoZero"/>
        <c:auto val="1"/>
        <c:lblAlgn val="ctr"/>
        <c:lblOffset val="100"/>
        <c:noMultiLvlLbl val="0"/>
      </c:catAx>
      <c:valAx>
        <c:axId val="919877168"/>
        <c:scaling>
          <c:orientation val="minMax"/>
        </c:scaling>
        <c:delete val="1"/>
        <c:axPos val="b"/>
        <c:numFmt formatCode="General" sourceLinked="1"/>
        <c:majorTickMark val="none"/>
        <c:minorTickMark val="none"/>
        <c:tickLblPos val="nextTo"/>
        <c:crossAx val="91987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551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62A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Analysis!$M$12:$M$13</c:f>
              <c:strCache>
                <c:ptCount val="1"/>
                <c:pt idx="0">
                  <c:v>2024</c:v>
                </c:pt>
              </c:strCache>
            </c:strRef>
          </c:tx>
          <c:spPr>
            <a:solidFill>
              <a:srgbClr val="A5510B"/>
            </a:solidFill>
            <a:ln>
              <a:noFill/>
            </a:ln>
            <a:effectLst/>
          </c:spPr>
          <c:invertIfNegative val="0"/>
          <c:cat>
            <c:strRef>
              <c:f>Analysis!$L$14:$L$18</c:f>
              <c:strCache>
                <c:ptCount val="4"/>
                <c:pt idx="0">
                  <c:v>Bottle Beer</c:v>
                </c:pt>
                <c:pt idx="1">
                  <c:v>Palm Wine</c:v>
                </c:pt>
                <c:pt idx="2">
                  <c:v>Red Wine</c:v>
                </c:pt>
                <c:pt idx="3">
                  <c:v>Whiskey Shot</c:v>
                </c:pt>
              </c:strCache>
            </c:strRef>
          </c:cat>
          <c:val>
            <c:numRef>
              <c:f>Analysis!$M$14:$M$18</c:f>
              <c:numCache>
                <c:formatCode>General</c:formatCode>
                <c:ptCount val="4"/>
                <c:pt idx="0">
                  <c:v>15400</c:v>
                </c:pt>
                <c:pt idx="1">
                  <c:v>18500</c:v>
                </c:pt>
                <c:pt idx="2">
                  <c:v>92500</c:v>
                </c:pt>
                <c:pt idx="3">
                  <c:v>58800</c:v>
                </c:pt>
              </c:numCache>
            </c:numRef>
          </c:val>
          <c:extLst>
            <c:ext xmlns:c16="http://schemas.microsoft.com/office/drawing/2014/chart" uri="{C3380CC4-5D6E-409C-BE32-E72D297353CC}">
              <c16:uniqueId val="{00000000-56D5-47F1-850F-E257D19EAA33}"/>
            </c:ext>
          </c:extLst>
        </c:ser>
        <c:ser>
          <c:idx val="1"/>
          <c:order val="1"/>
          <c:tx>
            <c:strRef>
              <c:f>Analysis!$N$12:$N$13</c:f>
              <c:strCache>
                <c:ptCount val="1"/>
                <c:pt idx="0">
                  <c:v>2025</c:v>
                </c:pt>
              </c:strCache>
            </c:strRef>
          </c:tx>
          <c:spPr>
            <a:solidFill>
              <a:srgbClr val="562A06"/>
            </a:solidFill>
            <a:ln>
              <a:noFill/>
            </a:ln>
            <a:effectLst/>
          </c:spPr>
          <c:invertIfNegative val="0"/>
          <c:cat>
            <c:strRef>
              <c:f>Analysis!$L$14:$L$18</c:f>
              <c:strCache>
                <c:ptCount val="4"/>
                <c:pt idx="0">
                  <c:v>Bottle Beer</c:v>
                </c:pt>
                <c:pt idx="1">
                  <c:v>Palm Wine</c:v>
                </c:pt>
                <c:pt idx="2">
                  <c:v>Red Wine</c:v>
                </c:pt>
                <c:pt idx="3">
                  <c:v>Whiskey Shot</c:v>
                </c:pt>
              </c:strCache>
            </c:strRef>
          </c:cat>
          <c:val>
            <c:numRef>
              <c:f>Analysis!$N$14:$N$18</c:f>
              <c:numCache>
                <c:formatCode>General</c:formatCode>
                <c:ptCount val="4"/>
                <c:pt idx="0">
                  <c:v>19600</c:v>
                </c:pt>
                <c:pt idx="1">
                  <c:v>35000</c:v>
                </c:pt>
                <c:pt idx="2">
                  <c:v>175000</c:v>
                </c:pt>
                <c:pt idx="3">
                  <c:v>63600</c:v>
                </c:pt>
              </c:numCache>
            </c:numRef>
          </c:val>
          <c:extLst>
            <c:ext xmlns:c16="http://schemas.microsoft.com/office/drawing/2014/chart" uri="{C3380CC4-5D6E-409C-BE32-E72D297353CC}">
              <c16:uniqueId val="{00000001-56D5-47F1-850F-E257D19EAA33}"/>
            </c:ext>
          </c:extLst>
        </c:ser>
        <c:dLbls>
          <c:showLegendKey val="0"/>
          <c:showVal val="0"/>
          <c:showCatName val="0"/>
          <c:showSerName val="0"/>
          <c:showPercent val="0"/>
          <c:showBubbleSize val="0"/>
        </c:dLbls>
        <c:gapWidth val="186"/>
        <c:overlap val="43"/>
        <c:axId val="919895888"/>
        <c:axId val="919896304"/>
      </c:barChart>
      <c:catAx>
        <c:axId val="9198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432105"/>
                </a:solidFill>
                <a:latin typeface="+mn-lt"/>
                <a:ea typeface="+mn-ea"/>
                <a:cs typeface="+mn-cs"/>
              </a:defRPr>
            </a:pPr>
            <a:endParaRPr lang="en-US"/>
          </a:p>
        </c:txPr>
        <c:crossAx val="919896304"/>
        <c:crosses val="autoZero"/>
        <c:auto val="1"/>
        <c:lblAlgn val="ctr"/>
        <c:lblOffset val="100"/>
        <c:noMultiLvlLbl val="0"/>
      </c:catAx>
      <c:valAx>
        <c:axId val="919896304"/>
        <c:scaling>
          <c:orientation val="minMax"/>
        </c:scaling>
        <c:delete val="1"/>
        <c:axPos val="l"/>
        <c:numFmt formatCode="General" sourceLinked="1"/>
        <c:majorTickMark val="none"/>
        <c:minorTickMark val="none"/>
        <c:tickLblPos val="nextTo"/>
        <c:crossAx val="9198958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551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A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Analysis!$B$15:$B$16</c:f>
              <c:strCache>
                <c:ptCount val="1"/>
                <c:pt idx="0">
                  <c:v>2024</c:v>
                </c:pt>
              </c:strCache>
            </c:strRef>
          </c:tx>
          <c:spPr>
            <a:ln w="28575" cap="rnd">
              <a:solidFill>
                <a:srgbClr val="A5510B"/>
              </a:solidFill>
              <a:round/>
            </a:ln>
            <a:effectLst/>
          </c:spPr>
          <c:marker>
            <c:symbol val="none"/>
          </c:marker>
          <c:cat>
            <c:strRef>
              <c:f>Analysis!$A$17:$A$29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Analysis!$B$17:$B$29</c:f>
              <c:numCache>
                <c:formatCode>General</c:formatCode>
                <c:ptCount val="12"/>
                <c:pt idx="0">
                  <c:v>4800</c:v>
                </c:pt>
                <c:pt idx="1">
                  <c:v>7200</c:v>
                </c:pt>
                <c:pt idx="2">
                  <c:v>5500</c:v>
                </c:pt>
                <c:pt idx="3">
                  <c:v>24100</c:v>
                </c:pt>
                <c:pt idx="4">
                  <c:v>16300</c:v>
                </c:pt>
                <c:pt idx="5">
                  <c:v>6500</c:v>
                </c:pt>
                <c:pt idx="6">
                  <c:v>7200</c:v>
                </c:pt>
                <c:pt idx="7">
                  <c:v>64200</c:v>
                </c:pt>
                <c:pt idx="8">
                  <c:v>17000</c:v>
                </c:pt>
                <c:pt idx="9">
                  <c:v>8500</c:v>
                </c:pt>
                <c:pt idx="10">
                  <c:v>16500</c:v>
                </c:pt>
                <c:pt idx="11">
                  <c:v>7400</c:v>
                </c:pt>
              </c:numCache>
            </c:numRef>
          </c:val>
          <c:smooth val="1"/>
          <c:extLst>
            <c:ext xmlns:c16="http://schemas.microsoft.com/office/drawing/2014/chart" uri="{C3380CC4-5D6E-409C-BE32-E72D297353CC}">
              <c16:uniqueId val="{00000000-ADDC-4ECD-9A0E-B7B1242DBA88}"/>
            </c:ext>
          </c:extLst>
        </c:ser>
        <c:ser>
          <c:idx val="1"/>
          <c:order val="1"/>
          <c:tx>
            <c:strRef>
              <c:f>Analysis!$C$15:$C$16</c:f>
              <c:strCache>
                <c:ptCount val="1"/>
                <c:pt idx="0">
                  <c:v>2025</c:v>
                </c:pt>
              </c:strCache>
            </c:strRef>
          </c:tx>
          <c:spPr>
            <a:ln w="28575" cap="rnd">
              <a:solidFill>
                <a:srgbClr val="562A06"/>
              </a:solidFill>
              <a:round/>
            </a:ln>
            <a:effectLst/>
          </c:spPr>
          <c:marker>
            <c:symbol val="none"/>
          </c:marker>
          <c:cat>
            <c:strRef>
              <c:f>Analysis!$A$17:$A$29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Analysis!$C$17:$C$29</c:f>
              <c:numCache>
                <c:formatCode>General</c:formatCode>
                <c:ptCount val="12"/>
                <c:pt idx="0">
                  <c:v>31100</c:v>
                </c:pt>
                <c:pt idx="1">
                  <c:v>12700</c:v>
                </c:pt>
                <c:pt idx="2">
                  <c:v>22400</c:v>
                </c:pt>
                <c:pt idx="3">
                  <c:v>7400</c:v>
                </c:pt>
                <c:pt idx="4">
                  <c:v>54500</c:v>
                </c:pt>
                <c:pt idx="5">
                  <c:v>2400</c:v>
                </c:pt>
                <c:pt idx="6">
                  <c:v>20100</c:v>
                </c:pt>
                <c:pt idx="7">
                  <c:v>18600</c:v>
                </c:pt>
                <c:pt idx="8">
                  <c:v>26100</c:v>
                </c:pt>
                <c:pt idx="9">
                  <c:v>43400</c:v>
                </c:pt>
                <c:pt idx="10">
                  <c:v>31700</c:v>
                </c:pt>
                <c:pt idx="11">
                  <c:v>22800</c:v>
                </c:pt>
              </c:numCache>
            </c:numRef>
          </c:val>
          <c:smooth val="1"/>
          <c:extLst>
            <c:ext xmlns:c16="http://schemas.microsoft.com/office/drawing/2014/chart" uri="{C3380CC4-5D6E-409C-BE32-E72D297353CC}">
              <c16:uniqueId val="{00000001-ADDC-4ECD-9A0E-B7B1242DBA88}"/>
            </c:ext>
          </c:extLst>
        </c:ser>
        <c:dLbls>
          <c:showLegendKey val="0"/>
          <c:showVal val="0"/>
          <c:showCatName val="0"/>
          <c:showSerName val="0"/>
          <c:showPercent val="0"/>
          <c:showBubbleSize val="0"/>
        </c:dLbls>
        <c:smooth val="0"/>
        <c:axId val="919922928"/>
        <c:axId val="919923344"/>
      </c:lineChart>
      <c:catAx>
        <c:axId val="9199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19923344"/>
        <c:crosses val="autoZero"/>
        <c:auto val="1"/>
        <c:lblAlgn val="ctr"/>
        <c:lblOffset val="100"/>
        <c:noMultiLvlLbl val="0"/>
      </c:catAx>
      <c:valAx>
        <c:axId val="91992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1992292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62A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551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3051359516617"/>
          <c:y val="0.15879026467425669"/>
          <c:w val="0.86706948640483383"/>
          <c:h val="0.82986757356329655"/>
        </c:manualLayout>
      </c:layout>
      <c:lineChart>
        <c:grouping val="standard"/>
        <c:varyColors val="0"/>
        <c:ser>
          <c:idx val="0"/>
          <c:order val="0"/>
          <c:tx>
            <c:strRef>
              <c:f>Analysis!$H$3:$H$4</c:f>
              <c:strCache>
                <c:ptCount val="1"/>
                <c:pt idx="0">
                  <c:v>2024</c:v>
                </c:pt>
              </c:strCache>
            </c:strRef>
          </c:tx>
          <c:spPr>
            <a:ln w="28575" cap="rnd">
              <a:solidFill>
                <a:srgbClr val="562A06"/>
              </a:solidFill>
              <a:round/>
            </a:ln>
            <a:effectLst/>
          </c:spPr>
          <c:marker>
            <c:symbol val="none"/>
          </c:marker>
          <c:cat>
            <c:strRef>
              <c:f>Analysis!$G$5:$G$8</c:f>
              <c:strCache>
                <c:ptCount val="4"/>
                <c:pt idx="0">
                  <c:v>Qtr1</c:v>
                </c:pt>
                <c:pt idx="1">
                  <c:v>Qtr2</c:v>
                </c:pt>
                <c:pt idx="2">
                  <c:v>Qtr3</c:v>
                </c:pt>
                <c:pt idx="3">
                  <c:v>Qtr4</c:v>
                </c:pt>
              </c:strCache>
            </c:strRef>
          </c:cat>
          <c:val>
            <c:numRef>
              <c:f>Analysis!$H$5:$H$8</c:f>
              <c:numCache>
                <c:formatCode>General</c:formatCode>
                <c:ptCount val="4"/>
                <c:pt idx="0">
                  <c:v>17500</c:v>
                </c:pt>
                <c:pt idx="1">
                  <c:v>46900</c:v>
                </c:pt>
                <c:pt idx="2">
                  <c:v>88400</c:v>
                </c:pt>
                <c:pt idx="3">
                  <c:v>32400</c:v>
                </c:pt>
              </c:numCache>
            </c:numRef>
          </c:val>
          <c:smooth val="1"/>
          <c:extLst>
            <c:ext xmlns:c16="http://schemas.microsoft.com/office/drawing/2014/chart" uri="{C3380CC4-5D6E-409C-BE32-E72D297353CC}">
              <c16:uniqueId val="{00000000-303D-43F0-BE36-BDCEBEBEB8F3}"/>
            </c:ext>
          </c:extLst>
        </c:ser>
        <c:ser>
          <c:idx val="1"/>
          <c:order val="1"/>
          <c:tx>
            <c:strRef>
              <c:f>Analysis!$I$3:$I$4</c:f>
              <c:strCache>
                <c:ptCount val="1"/>
                <c:pt idx="0">
                  <c:v>2025</c:v>
                </c:pt>
              </c:strCache>
            </c:strRef>
          </c:tx>
          <c:spPr>
            <a:ln w="28575" cap="rnd">
              <a:solidFill>
                <a:srgbClr val="A5510B"/>
              </a:solidFill>
              <a:round/>
            </a:ln>
            <a:effectLst/>
          </c:spPr>
          <c:marker>
            <c:symbol val="none"/>
          </c:marker>
          <c:cat>
            <c:strRef>
              <c:f>Analysis!$G$5:$G$8</c:f>
              <c:strCache>
                <c:ptCount val="4"/>
                <c:pt idx="0">
                  <c:v>Qtr1</c:v>
                </c:pt>
                <c:pt idx="1">
                  <c:v>Qtr2</c:v>
                </c:pt>
                <c:pt idx="2">
                  <c:v>Qtr3</c:v>
                </c:pt>
                <c:pt idx="3">
                  <c:v>Qtr4</c:v>
                </c:pt>
              </c:strCache>
            </c:strRef>
          </c:cat>
          <c:val>
            <c:numRef>
              <c:f>Analysis!$I$5:$I$8</c:f>
              <c:numCache>
                <c:formatCode>General</c:formatCode>
                <c:ptCount val="4"/>
                <c:pt idx="0">
                  <c:v>66200</c:v>
                </c:pt>
                <c:pt idx="1">
                  <c:v>64300</c:v>
                </c:pt>
                <c:pt idx="2">
                  <c:v>64800</c:v>
                </c:pt>
                <c:pt idx="3">
                  <c:v>97900</c:v>
                </c:pt>
              </c:numCache>
            </c:numRef>
          </c:val>
          <c:smooth val="1"/>
          <c:extLst>
            <c:ext xmlns:c16="http://schemas.microsoft.com/office/drawing/2014/chart" uri="{C3380CC4-5D6E-409C-BE32-E72D297353CC}">
              <c16:uniqueId val="{00000001-303D-43F0-BE36-BDCEBEBEB8F3}"/>
            </c:ext>
          </c:extLst>
        </c:ser>
        <c:dLbls>
          <c:showLegendKey val="0"/>
          <c:showVal val="0"/>
          <c:showCatName val="0"/>
          <c:showSerName val="0"/>
          <c:showPercent val="0"/>
          <c:showBubbleSize val="0"/>
        </c:dLbls>
        <c:smooth val="0"/>
        <c:axId val="919960368"/>
        <c:axId val="919962864"/>
      </c:lineChart>
      <c:catAx>
        <c:axId val="919960368"/>
        <c:scaling>
          <c:orientation val="minMax"/>
        </c:scaling>
        <c:delete val="1"/>
        <c:axPos val="b"/>
        <c:numFmt formatCode="General" sourceLinked="1"/>
        <c:majorTickMark val="none"/>
        <c:minorTickMark val="none"/>
        <c:tickLblPos val="nextTo"/>
        <c:crossAx val="919962864"/>
        <c:crosses val="autoZero"/>
        <c:auto val="1"/>
        <c:lblAlgn val="ctr"/>
        <c:lblOffset val="100"/>
        <c:noMultiLvlLbl val="0"/>
      </c:catAx>
      <c:valAx>
        <c:axId val="919962864"/>
        <c:scaling>
          <c:orientation val="minMax"/>
        </c:scaling>
        <c:delete val="1"/>
        <c:axPos val="l"/>
        <c:numFmt formatCode="General" sourceLinked="1"/>
        <c:majorTickMark val="none"/>
        <c:minorTickMark val="none"/>
        <c:tickLblPos val="nextTo"/>
        <c:crossAx val="91996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551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A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50000000000003E-2"/>
          <c:y val="0.22448979591836735"/>
          <c:w val="0.86250000000000004"/>
          <c:h val="0.77551020408163263"/>
        </c:manualLayout>
      </c:layout>
      <c:lineChart>
        <c:grouping val="standard"/>
        <c:varyColors val="0"/>
        <c:ser>
          <c:idx val="0"/>
          <c:order val="0"/>
          <c:tx>
            <c:strRef>
              <c:f>Analysis!$H$12:$H$13</c:f>
              <c:strCache>
                <c:ptCount val="1"/>
                <c:pt idx="0">
                  <c:v>2024</c:v>
                </c:pt>
              </c:strCache>
            </c:strRef>
          </c:tx>
          <c:spPr>
            <a:ln w="28575" cap="rnd">
              <a:solidFill>
                <a:srgbClr val="A5510B"/>
              </a:solidFill>
              <a:round/>
            </a:ln>
            <a:effectLst/>
          </c:spPr>
          <c:marker>
            <c:symbol val="none"/>
          </c:marker>
          <c:cat>
            <c:strRef>
              <c:f>Analysis!$G$14:$G$17</c:f>
              <c:strCache>
                <c:ptCount val="4"/>
                <c:pt idx="0">
                  <c:v>Qtr1</c:v>
                </c:pt>
                <c:pt idx="1">
                  <c:v>Qtr2</c:v>
                </c:pt>
                <c:pt idx="2">
                  <c:v>Qtr3</c:v>
                </c:pt>
                <c:pt idx="3">
                  <c:v>Qtr4</c:v>
                </c:pt>
              </c:strCache>
            </c:strRef>
          </c:cat>
          <c:val>
            <c:numRef>
              <c:f>Analysis!$H$14:$H$17</c:f>
              <c:numCache>
                <c:formatCode>General</c:formatCode>
                <c:ptCount val="4"/>
                <c:pt idx="0">
                  <c:v>21</c:v>
                </c:pt>
                <c:pt idx="1">
                  <c:v>41</c:v>
                </c:pt>
                <c:pt idx="2">
                  <c:v>58</c:v>
                </c:pt>
                <c:pt idx="3">
                  <c:v>25</c:v>
                </c:pt>
              </c:numCache>
            </c:numRef>
          </c:val>
          <c:smooth val="1"/>
          <c:extLst>
            <c:ext xmlns:c16="http://schemas.microsoft.com/office/drawing/2014/chart" uri="{C3380CC4-5D6E-409C-BE32-E72D297353CC}">
              <c16:uniqueId val="{00000000-D154-4D9D-B522-A5F00BAD8B3D}"/>
            </c:ext>
          </c:extLst>
        </c:ser>
        <c:ser>
          <c:idx val="1"/>
          <c:order val="1"/>
          <c:tx>
            <c:strRef>
              <c:f>Analysis!$I$12:$I$13</c:f>
              <c:strCache>
                <c:ptCount val="1"/>
                <c:pt idx="0">
                  <c:v>2025</c:v>
                </c:pt>
              </c:strCache>
            </c:strRef>
          </c:tx>
          <c:spPr>
            <a:ln w="28575" cap="rnd">
              <a:solidFill>
                <a:srgbClr val="562A06"/>
              </a:solidFill>
              <a:round/>
            </a:ln>
            <a:effectLst/>
          </c:spPr>
          <c:marker>
            <c:symbol val="none"/>
          </c:marker>
          <c:cat>
            <c:strRef>
              <c:f>Analysis!$G$14:$G$17</c:f>
              <c:strCache>
                <c:ptCount val="4"/>
                <c:pt idx="0">
                  <c:v>Qtr1</c:v>
                </c:pt>
                <c:pt idx="1">
                  <c:v>Qtr2</c:v>
                </c:pt>
                <c:pt idx="2">
                  <c:v>Qtr3</c:v>
                </c:pt>
                <c:pt idx="3">
                  <c:v>Qtr4</c:v>
                </c:pt>
              </c:strCache>
            </c:strRef>
          </c:cat>
          <c:val>
            <c:numRef>
              <c:f>Analysis!$I$14:$I$17</c:f>
              <c:numCache>
                <c:formatCode>General</c:formatCode>
                <c:ptCount val="4"/>
                <c:pt idx="0">
                  <c:v>50</c:v>
                </c:pt>
                <c:pt idx="1">
                  <c:v>41</c:v>
                </c:pt>
                <c:pt idx="2">
                  <c:v>46</c:v>
                </c:pt>
                <c:pt idx="3">
                  <c:v>84</c:v>
                </c:pt>
              </c:numCache>
            </c:numRef>
          </c:val>
          <c:smooth val="1"/>
          <c:extLst>
            <c:ext xmlns:c16="http://schemas.microsoft.com/office/drawing/2014/chart" uri="{C3380CC4-5D6E-409C-BE32-E72D297353CC}">
              <c16:uniqueId val="{00000001-D154-4D9D-B522-A5F00BAD8B3D}"/>
            </c:ext>
          </c:extLst>
        </c:ser>
        <c:dLbls>
          <c:showLegendKey val="0"/>
          <c:showVal val="0"/>
          <c:showCatName val="0"/>
          <c:showSerName val="0"/>
          <c:showPercent val="0"/>
          <c:showBubbleSize val="0"/>
        </c:dLbls>
        <c:smooth val="0"/>
        <c:axId val="922041472"/>
        <c:axId val="922050624"/>
      </c:lineChart>
      <c:catAx>
        <c:axId val="922041472"/>
        <c:scaling>
          <c:orientation val="minMax"/>
        </c:scaling>
        <c:delete val="1"/>
        <c:axPos val="b"/>
        <c:numFmt formatCode="General" sourceLinked="1"/>
        <c:majorTickMark val="none"/>
        <c:minorTickMark val="none"/>
        <c:tickLblPos val="nextTo"/>
        <c:crossAx val="922050624"/>
        <c:crosses val="autoZero"/>
        <c:auto val="1"/>
        <c:lblAlgn val="ctr"/>
        <c:lblOffset val="100"/>
        <c:noMultiLvlLbl val="0"/>
      </c:catAx>
      <c:valAx>
        <c:axId val="922050624"/>
        <c:scaling>
          <c:orientation val="minMax"/>
        </c:scaling>
        <c:delete val="1"/>
        <c:axPos val="l"/>
        <c:numFmt formatCode="General" sourceLinked="1"/>
        <c:majorTickMark val="none"/>
        <c:minorTickMark val="none"/>
        <c:tickLblPos val="nextTo"/>
        <c:crossAx val="92204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[Susans_Bar_Sales_Performance.xlsx]Analysis!PivotTable6</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551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A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65910143584996E-3"/>
          <c:y val="0.14304393200069304"/>
          <c:w val="0.93888888888888888"/>
          <c:h val="0.85349606421423763"/>
        </c:manualLayout>
      </c:layout>
      <c:lineChart>
        <c:grouping val="standard"/>
        <c:varyColors val="0"/>
        <c:ser>
          <c:idx val="0"/>
          <c:order val="0"/>
          <c:tx>
            <c:strRef>
              <c:f>Analysis!$H$21:$H$22</c:f>
              <c:strCache>
                <c:ptCount val="1"/>
                <c:pt idx="0">
                  <c:v>2024</c:v>
                </c:pt>
              </c:strCache>
            </c:strRef>
          </c:tx>
          <c:spPr>
            <a:ln w="28575" cap="rnd">
              <a:solidFill>
                <a:srgbClr val="A5510B"/>
              </a:solidFill>
              <a:round/>
            </a:ln>
            <a:effectLst/>
          </c:spPr>
          <c:marker>
            <c:symbol val="none"/>
          </c:marker>
          <c:cat>
            <c:strRef>
              <c:f>Analysis!$G$23:$G$26</c:f>
              <c:strCache>
                <c:ptCount val="4"/>
                <c:pt idx="0">
                  <c:v>Qtr1</c:v>
                </c:pt>
                <c:pt idx="1">
                  <c:v>Qtr2</c:v>
                </c:pt>
                <c:pt idx="2">
                  <c:v>Qtr3</c:v>
                </c:pt>
                <c:pt idx="3">
                  <c:v>Qtr4</c:v>
                </c:pt>
              </c:strCache>
            </c:strRef>
          </c:cat>
          <c:val>
            <c:numRef>
              <c:f>Analysis!$H$23:$H$26</c:f>
              <c:numCache>
                <c:formatCode>General</c:formatCode>
                <c:ptCount val="4"/>
                <c:pt idx="0">
                  <c:v>5500</c:v>
                </c:pt>
                <c:pt idx="1">
                  <c:v>14900</c:v>
                </c:pt>
                <c:pt idx="2">
                  <c:v>23400</c:v>
                </c:pt>
                <c:pt idx="3">
                  <c:v>15100</c:v>
                </c:pt>
              </c:numCache>
            </c:numRef>
          </c:val>
          <c:smooth val="1"/>
          <c:extLst>
            <c:ext xmlns:c16="http://schemas.microsoft.com/office/drawing/2014/chart" uri="{C3380CC4-5D6E-409C-BE32-E72D297353CC}">
              <c16:uniqueId val="{00000000-8522-4B22-9560-191A74952DB3}"/>
            </c:ext>
          </c:extLst>
        </c:ser>
        <c:ser>
          <c:idx val="1"/>
          <c:order val="1"/>
          <c:tx>
            <c:strRef>
              <c:f>Analysis!$I$21:$I$22</c:f>
              <c:strCache>
                <c:ptCount val="1"/>
                <c:pt idx="0">
                  <c:v>2025</c:v>
                </c:pt>
              </c:strCache>
            </c:strRef>
          </c:tx>
          <c:spPr>
            <a:ln w="28575" cap="rnd">
              <a:solidFill>
                <a:srgbClr val="562A06"/>
              </a:solidFill>
              <a:round/>
            </a:ln>
            <a:effectLst/>
          </c:spPr>
          <c:marker>
            <c:symbol val="none"/>
          </c:marker>
          <c:cat>
            <c:strRef>
              <c:f>Analysis!$G$23:$G$26</c:f>
              <c:strCache>
                <c:ptCount val="4"/>
                <c:pt idx="0">
                  <c:v>Qtr1</c:v>
                </c:pt>
                <c:pt idx="1">
                  <c:v>Qtr2</c:v>
                </c:pt>
                <c:pt idx="2">
                  <c:v>Qtr3</c:v>
                </c:pt>
                <c:pt idx="3">
                  <c:v>Qtr4</c:v>
                </c:pt>
              </c:strCache>
            </c:strRef>
          </c:cat>
          <c:val>
            <c:numRef>
              <c:f>Analysis!$I$23:$I$26</c:f>
              <c:numCache>
                <c:formatCode>General</c:formatCode>
                <c:ptCount val="4"/>
                <c:pt idx="0">
                  <c:v>17500</c:v>
                </c:pt>
                <c:pt idx="1">
                  <c:v>15500</c:v>
                </c:pt>
                <c:pt idx="2">
                  <c:v>20200</c:v>
                </c:pt>
                <c:pt idx="3">
                  <c:v>27200</c:v>
                </c:pt>
              </c:numCache>
            </c:numRef>
          </c:val>
          <c:smooth val="1"/>
          <c:extLst>
            <c:ext xmlns:c16="http://schemas.microsoft.com/office/drawing/2014/chart" uri="{C3380CC4-5D6E-409C-BE32-E72D297353CC}">
              <c16:uniqueId val="{00000001-8522-4B22-9560-191A74952DB3}"/>
            </c:ext>
          </c:extLst>
        </c:ser>
        <c:dLbls>
          <c:showLegendKey val="0"/>
          <c:showVal val="0"/>
          <c:showCatName val="0"/>
          <c:showSerName val="0"/>
          <c:showPercent val="0"/>
          <c:showBubbleSize val="0"/>
        </c:dLbls>
        <c:smooth val="0"/>
        <c:axId val="922036896"/>
        <c:axId val="922032320"/>
      </c:lineChart>
      <c:catAx>
        <c:axId val="922036896"/>
        <c:scaling>
          <c:orientation val="minMax"/>
        </c:scaling>
        <c:delete val="1"/>
        <c:axPos val="b"/>
        <c:numFmt formatCode="General" sourceLinked="1"/>
        <c:majorTickMark val="none"/>
        <c:minorTickMark val="none"/>
        <c:tickLblPos val="nextTo"/>
        <c:crossAx val="922032320"/>
        <c:crosses val="autoZero"/>
        <c:auto val="1"/>
        <c:lblAlgn val="ctr"/>
        <c:lblOffset val="100"/>
        <c:noMultiLvlLbl val="0"/>
      </c:catAx>
      <c:valAx>
        <c:axId val="922032320"/>
        <c:scaling>
          <c:orientation val="minMax"/>
        </c:scaling>
        <c:delete val="1"/>
        <c:axPos val="l"/>
        <c:numFmt formatCode="General" sourceLinked="1"/>
        <c:majorTickMark val="none"/>
        <c:minorTickMark val="none"/>
        <c:tickLblPos val="nextTo"/>
        <c:crossAx val="92203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[Susans_Bar_Sales_Performance.xlsx]Analysis!PivotTable7</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551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62A0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2828166176264"/>
          <c:y val="0.13931895337459027"/>
          <c:w val="0.84397171833823736"/>
          <c:h val="0.79566553505060089"/>
        </c:manualLayout>
      </c:layout>
      <c:lineChart>
        <c:grouping val="standard"/>
        <c:varyColors val="0"/>
        <c:ser>
          <c:idx val="0"/>
          <c:order val="0"/>
          <c:tx>
            <c:strRef>
              <c:f>Analysis!$M$3:$M$4</c:f>
              <c:strCache>
                <c:ptCount val="1"/>
                <c:pt idx="0">
                  <c:v>2024</c:v>
                </c:pt>
              </c:strCache>
            </c:strRef>
          </c:tx>
          <c:spPr>
            <a:ln w="28575" cap="rnd">
              <a:solidFill>
                <a:srgbClr val="A5510B"/>
              </a:solidFill>
              <a:round/>
            </a:ln>
            <a:effectLst/>
          </c:spPr>
          <c:marker>
            <c:symbol val="none"/>
          </c:marker>
          <c:cat>
            <c:strRef>
              <c:f>Analysis!$L$5:$L$8</c:f>
              <c:strCache>
                <c:ptCount val="4"/>
                <c:pt idx="0">
                  <c:v>Qtr1</c:v>
                </c:pt>
                <c:pt idx="1">
                  <c:v>Qtr2</c:v>
                </c:pt>
                <c:pt idx="2">
                  <c:v>Qtr3</c:v>
                </c:pt>
                <c:pt idx="3">
                  <c:v>Qtr4</c:v>
                </c:pt>
              </c:strCache>
            </c:strRef>
          </c:cat>
          <c:val>
            <c:numRef>
              <c:f>Analysis!$M$5:$M$8</c:f>
              <c:numCache>
                <c:formatCode>General</c:formatCode>
                <c:ptCount val="4"/>
                <c:pt idx="0">
                  <c:v>12000</c:v>
                </c:pt>
                <c:pt idx="1">
                  <c:v>32000</c:v>
                </c:pt>
                <c:pt idx="2">
                  <c:v>65000</c:v>
                </c:pt>
                <c:pt idx="3">
                  <c:v>17300</c:v>
                </c:pt>
              </c:numCache>
            </c:numRef>
          </c:val>
          <c:smooth val="1"/>
          <c:extLst>
            <c:ext xmlns:c16="http://schemas.microsoft.com/office/drawing/2014/chart" uri="{C3380CC4-5D6E-409C-BE32-E72D297353CC}">
              <c16:uniqueId val="{00000000-0783-4843-8E6D-BBFEF3FCAD11}"/>
            </c:ext>
          </c:extLst>
        </c:ser>
        <c:ser>
          <c:idx val="1"/>
          <c:order val="1"/>
          <c:tx>
            <c:strRef>
              <c:f>Analysis!$N$3:$N$4</c:f>
              <c:strCache>
                <c:ptCount val="1"/>
                <c:pt idx="0">
                  <c:v>2025</c:v>
                </c:pt>
              </c:strCache>
            </c:strRef>
          </c:tx>
          <c:spPr>
            <a:ln w="28575" cap="rnd">
              <a:solidFill>
                <a:srgbClr val="562A06"/>
              </a:solidFill>
              <a:round/>
            </a:ln>
            <a:effectLst/>
          </c:spPr>
          <c:marker>
            <c:symbol val="none"/>
          </c:marker>
          <c:cat>
            <c:strRef>
              <c:f>Analysis!$L$5:$L$8</c:f>
              <c:strCache>
                <c:ptCount val="4"/>
                <c:pt idx="0">
                  <c:v>Qtr1</c:v>
                </c:pt>
                <c:pt idx="1">
                  <c:v>Qtr2</c:v>
                </c:pt>
                <c:pt idx="2">
                  <c:v>Qtr3</c:v>
                </c:pt>
                <c:pt idx="3">
                  <c:v>Qtr4</c:v>
                </c:pt>
              </c:strCache>
            </c:strRef>
          </c:cat>
          <c:val>
            <c:numRef>
              <c:f>Analysis!$N$5:$N$8</c:f>
              <c:numCache>
                <c:formatCode>General</c:formatCode>
                <c:ptCount val="4"/>
                <c:pt idx="0">
                  <c:v>48700</c:v>
                </c:pt>
                <c:pt idx="1">
                  <c:v>48800</c:v>
                </c:pt>
                <c:pt idx="2">
                  <c:v>44600</c:v>
                </c:pt>
                <c:pt idx="3">
                  <c:v>70700</c:v>
                </c:pt>
              </c:numCache>
            </c:numRef>
          </c:val>
          <c:smooth val="1"/>
          <c:extLst>
            <c:ext xmlns:c16="http://schemas.microsoft.com/office/drawing/2014/chart" uri="{C3380CC4-5D6E-409C-BE32-E72D297353CC}">
              <c16:uniqueId val="{00000001-0783-4843-8E6D-BBFEF3FCAD11}"/>
            </c:ext>
          </c:extLst>
        </c:ser>
        <c:dLbls>
          <c:showLegendKey val="0"/>
          <c:showVal val="0"/>
          <c:showCatName val="0"/>
          <c:showSerName val="0"/>
          <c:showPercent val="0"/>
          <c:showBubbleSize val="0"/>
        </c:dLbls>
        <c:smooth val="0"/>
        <c:axId val="919879248"/>
        <c:axId val="919897136"/>
      </c:lineChart>
      <c:catAx>
        <c:axId val="919879248"/>
        <c:scaling>
          <c:orientation val="minMax"/>
        </c:scaling>
        <c:delete val="1"/>
        <c:axPos val="b"/>
        <c:numFmt formatCode="General" sourceLinked="1"/>
        <c:majorTickMark val="none"/>
        <c:minorTickMark val="none"/>
        <c:tickLblPos val="nextTo"/>
        <c:crossAx val="919897136"/>
        <c:crosses val="autoZero"/>
        <c:auto val="1"/>
        <c:lblAlgn val="ctr"/>
        <c:lblOffset val="100"/>
        <c:noMultiLvlLbl val="0"/>
      </c:catAx>
      <c:valAx>
        <c:axId val="919897136"/>
        <c:scaling>
          <c:orientation val="minMax"/>
        </c:scaling>
        <c:delete val="1"/>
        <c:axPos val="l"/>
        <c:numFmt formatCode="General" sourceLinked="1"/>
        <c:majorTickMark val="none"/>
        <c:minorTickMark val="none"/>
        <c:tickLblPos val="nextTo"/>
        <c:crossAx val="919879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Data!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Analysis!A1"/></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Data!A1"/><Relationship Id="rId5" Type="http://schemas.openxmlformats.org/officeDocument/2006/relationships/chart" Target="../charts/chart3.xml"/><Relationship Id="rId10" Type="http://schemas.openxmlformats.org/officeDocument/2006/relationships/hyperlink" Target="#Analysis!A1"/><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74098</xdr:colOff>
      <xdr:row>11</xdr:row>
      <xdr:rowOff>95249</xdr:rowOff>
    </xdr:from>
    <xdr:to>
      <xdr:col>5</xdr:col>
      <xdr:colOff>482614</xdr:colOff>
      <xdr:row>28</xdr:row>
      <xdr:rowOff>73050</xdr:rowOff>
    </xdr:to>
    <xdr:sp macro="" textlink="">
      <xdr:nvSpPr>
        <xdr:cNvPr id="2" name="Rectangle: Top Corners Rounded 1">
          <a:extLst>
            <a:ext uri="{FF2B5EF4-FFF2-40B4-BE49-F238E27FC236}">
              <a16:creationId xmlns:a16="http://schemas.microsoft.com/office/drawing/2014/main" id="{81BDAE10-7EBB-4CC4-B71D-0C422EADF435}"/>
            </a:ext>
          </a:extLst>
        </xdr:cNvPr>
        <xdr:cNvSpPr/>
      </xdr:nvSpPr>
      <xdr:spPr>
        <a:xfrm rot="16200000">
          <a:off x="2681288" y="2874975"/>
          <a:ext cx="3036385" cy="1435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4</xdr:col>
      <xdr:colOff>201092</xdr:colOff>
      <xdr:row>20</xdr:row>
      <xdr:rowOff>45536</xdr:rowOff>
    </xdr:from>
    <xdr:to>
      <xdr:col>5</xdr:col>
      <xdr:colOff>419108</xdr:colOff>
      <xdr:row>22</xdr:row>
      <xdr:rowOff>155602</xdr:rowOff>
    </xdr:to>
    <xdr:sp macro="" textlink="">
      <xdr:nvSpPr>
        <xdr:cNvPr id="3" name="Rectangle: Rounded Corners 2">
          <a:extLst>
            <a:ext uri="{FF2B5EF4-FFF2-40B4-BE49-F238E27FC236}">
              <a16:creationId xmlns:a16="http://schemas.microsoft.com/office/drawing/2014/main" id="{4413E535-66F2-4CFF-A8F7-FE47935305CB}"/>
            </a:ext>
          </a:extLst>
        </xdr:cNvPr>
        <xdr:cNvSpPr/>
      </xdr:nvSpPr>
      <xdr:spPr>
        <a:xfrm>
          <a:off x="3608925" y="3643869"/>
          <a:ext cx="1244600" cy="469900"/>
        </a:xfrm>
        <a:prstGeom prst="roundRect">
          <a:avLst>
            <a:gd name="adj" fmla="val 23333"/>
          </a:avLst>
        </a:prstGeom>
        <a:solidFill>
          <a:srgbClr val="562A0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315392</xdr:colOff>
      <xdr:row>20</xdr:row>
      <xdr:rowOff>147136</xdr:rowOff>
    </xdr:from>
    <xdr:to>
      <xdr:col>5</xdr:col>
      <xdr:colOff>355608</xdr:colOff>
      <xdr:row>23</xdr:row>
      <xdr:rowOff>1086</xdr:rowOff>
    </xdr:to>
    <xdr:sp macro="" textlink="">
      <xdr:nvSpPr>
        <xdr:cNvPr id="4" name="TextBox 3">
          <a:hlinkClick xmlns:r="http://schemas.openxmlformats.org/officeDocument/2006/relationships" r:id="rId1"/>
          <a:extLst>
            <a:ext uri="{FF2B5EF4-FFF2-40B4-BE49-F238E27FC236}">
              <a16:creationId xmlns:a16="http://schemas.microsoft.com/office/drawing/2014/main" id="{E6051985-D7BF-4269-8FF8-192212A2A2DD}"/>
            </a:ext>
          </a:extLst>
        </xdr:cNvPr>
        <xdr:cNvSpPr txBox="1"/>
      </xdr:nvSpPr>
      <xdr:spPr>
        <a:xfrm>
          <a:off x="3723225" y="3745469"/>
          <a:ext cx="10668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85000"/>
                </a:schemeClr>
              </a:solidFill>
              <a:latin typeface="Arial Black" panose="020B0A04020102020204" pitchFamily="34" charset="0"/>
            </a:rPr>
            <a:t>DATA</a:t>
          </a:r>
          <a:endParaRPr lang="en-US" sz="1100" b="1">
            <a:solidFill>
              <a:schemeClr val="bg1">
                <a:lumMod val="85000"/>
              </a:schemeClr>
            </a:solidFill>
            <a:latin typeface="Arial Black" panose="020B0A04020102020204" pitchFamily="34" charset="0"/>
          </a:endParaRPr>
        </a:p>
      </xdr:txBody>
    </xdr:sp>
    <xdr:clientData/>
  </xdr:twoCellAnchor>
  <xdr:twoCellAnchor>
    <xdr:from>
      <xdr:col>4</xdr:col>
      <xdr:colOff>188394</xdr:colOff>
      <xdr:row>16</xdr:row>
      <xdr:rowOff>79402</xdr:rowOff>
    </xdr:from>
    <xdr:to>
      <xdr:col>5</xdr:col>
      <xdr:colOff>406410</xdr:colOff>
      <xdr:row>19</xdr:row>
      <xdr:rowOff>9552</xdr:rowOff>
    </xdr:to>
    <xdr:sp macro="" textlink="">
      <xdr:nvSpPr>
        <xdr:cNvPr id="5" name="Rectangle: Rounded Corners 4">
          <a:extLst>
            <a:ext uri="{FF2B5EF4-FFF2-40B4-BE49-F238E27FC236}">
              <a16:creationId xmlns:a16="http://schemas.microsoft.com/office/drawing/2014/main" id="{5007D160-AD15-484C-A572-2AA52FC17BC4}"/>
            </a:ext>
          </a:extLst>
        </xdr:cNvPr>
        <xdr:cNvSpPr/>
      </xdr:nvSpPr>
      <xdr:spPr>
        <a:xfrm>
          <a:off x="3596227" y="2958069"/>
          <a:ext cx="1244600" cy="469900"/>
        </a:xfrm>
        <a:prstGeom prst="roundRect">
          <a:avLst>
            <a:gd name="adj" fmla="val 23333"/>
          </a:avLst>
        </a:prstGeom>
        <a:solidFill>
          <a:srgbClr val="562A0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188395</xdr:colOff>
      <xdr:row>17</xdr:row>
      <xdr:rowOff>1086</xdr:rowOff>
    </xdr:from>
    <xdr:to>
      <xdr:col>5</xdr:col>
      <xdr:colOff>457210</xdr:colOff>
      <xdr:row>19</xdr:row>
      <xdr:rowOff>34952</xdr:rowOff>
    </xdr:to>
    <xdr:sp macro="" textlink="">
      <xdr:nvSpPr>
        <xdr:cNvPr id="6" name="TextBox 5">
          <a:hlinkClick xmlns:r="http://schemas.openxmlformats.org/officeDocument/2006/relationships" r:id="rId2"/>
          <a:extLst>
            <a:ext uri="{FF2B5EF4-FFF2-40B4-BE49-F238E27FC236}">
              <a16:creationId xmlns:a16="http://schemas.microsoft.com/office/drawing/2014/main" id="{D2574522-F62D-464F-859C-123C4708920C}"/>
            </a:ext>
          </a:extLst>
        </xdr:cNvPr>
        <xdr:cNvSpPr txBox="1"/>
      </xdr:nvSpPr>
      <xdr:spPr>
        <a:xfrm>
          <a:off x="3596228" y="3059669"/>
          <a:ext cx="1295399"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85000"/>
                </a:schemeClr>
              </a:solidFill>
              <a:latin typeface="Arial Black" panose="020B0A04020102020204" pitchFamily="34" charset="0"/>
            </a:rPr>
            <a:t>DASHBOARD</a:t>
          </a:r>
          <a:endParaRPr lang="en-US" sz="1100" b="1">
            <a:solidFill>
              <a:schemeClr val="bg1">
                <a:lumMod val="85000"/>
              </a:schemeClr>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393703</xdr:colOff>
      <xdr:row>1</xdr:row>
      <xdr:rowOff>95247</xdr:rowOff>
    </xdr:from>
    <xdr:to>
      <xdr:col>14</xdr:col>
      <xdr:colOff>3</xdr:colOff>
      <xdr:row>18</xdr:row>
      <xdr:rowOff>1082</xdr:rowOff>
    </xdr:to>
    <xdr:sp macro="" textlink="">
      <xdr:nvSpPr>
        <xdr:cNvPr id="2" name="Rectangle: Top Corners Rounded 1">
          <a:extLst>
            <a:ext uri="{FF2B5EF4-FFF2-40B4-BE49-F238E27FC236}">
              <a16:creationId xmlns:a16="http://schemas.microsoft.com/office/drawing/2014/main" id="{B23619F7-E246-4BE6-B03D-8ECC02F2DFBA}"/>
            </a:ext>
          </a:extLst>
        </xdr:cNvPr>
        <xdr:cNvSpPr/>
      </xdr:nvSpPr>
      <xdr:spPr>
        <a:xfrm rot="16200000">
          <a:off x="6908260" y="1080040"/>
          <a:ext cx="3036385" cy="14351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800"/>
        </a:p>
      </xdr:txBody>
    </xdr:sp>
    <xdr:clientData/>
  </xdr:twoCellAnchor>
  <xdr:twoCellAnchor>
    <xdr:from>
      <xdr:col>11</xdr:col>
      <xdr:colOff>520697</xdr:colOff>
      <xdr:row>10</xdr:row>
      <xdr:rowOff>7434</xdr:rowOff>
    </xdr:from>
    <xdr:to>
      <xdr:col>13</xdr:col>
      <xdr:colOff>546097</xdr:colOff>
      <xdr:row>12</xdr:row>
      <xdr:rowOff>109034</xdr:rowOff>
    </xdr:to>
    <xdr:sp macro="" textlink="">
      <xdr:nvSpPr>
        <xdr:cNvPr id="3" name="Rectangle: Rounded Corners 2">
          <a:extLst>
            <a:ext uri="{FF2B5EF4-FFF2-40B4-BE49-F238E27FC236}">
              <a16:creationId xmlns:a16="http://schemas.microsoft.com/office/drawing/2014/main" id="{AD50FB66-9CA5-42B6-A312-1089F12C8FA1}"/>
            </a:ext>
          </a:extLst>
        </xdr:cNvPr>
        <xdr:cNvSpPr/>
      </xdr:nvSpPr>
      <xdr:spPr>
        <a:xfrm>
          <a:off x="7835897" y="1848934"/>
          <a:ext cx="1244600" cy="469900"/>
        </a:xfrm>
        <a:prstGeom prst="roundRect">
          <a:avLst>
            <a:gd name="adj" fmla="val 23333"/>
          </a:avLst>
        </a:prstGeom>
        <a:solidFill>
          <a:srgbClr val="562A0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25397</xdr:colOff>
      <xdr:row>10</xdr:row>
      <xdr:rowOff>109034</xdr:rowOff>
    </xdr:from>
    <xdr:to>
      <xdr:col>13</xdr:col>
      <xdr:colOff>482597</xdr:colOff>
      <xdr:row>12</xdr:row>
      <xdr:rowOff>134434</xdr:rowOff>
    </xdr:to>
    <xdr:sp macro="" textlink="">
      <xdr:nvSpPr>
        <xdr:cNvPr id="4" name="TextBox 3">
          <a:hlinkClick xmlns:r="http://schemas.openxmlformats.org/officeDocument/2006/relationships" r:id="rId1"/>
          <a:extLst>
            <a:ext uri="{FF2B5EF4-FFF2-40B4-BE49-F238E27FC236}">
              <a16:creationId xmlns:a16="http://schemas.microsoft.com/office/drawing/2014/main" id="{544E0EE5-F9F6-423E-ABF6-467813D21CBB}"/>
            </a:ext>
          </a:extLst>
        </xdr:cNvPr>
        <xdr:cNvSpPr txBox="1"/>
      </xdr:nvSpPr>
      <xdr:spPr>
        <a:xfrm>
          <a:off x="7950197" y="1950534"/>
          <a:ext cx="10668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85000"/>
                </a:schemeClr>
              </a:solidFill>
              <a:latin typeface="Arial Black" panose="020B0A04020102020204" pitchFamily="34" charset="0"/>
            </a:rPr>
            <a:t>ANALYSIS</a:t>
          </a:r>
          <a:endParaRPr lang="en-US" sz="1100" b="1">
            <a:solidFill>
              <a:schemeClr val="bg1">
                <a:lumMod val="85000"/>
              </a:schemeClr>
            </a:solidFill>
            <a:latin typeface="Arial Black" panose="020B0A04020102020204" pitchFamily="34" charset="0"/>
          </a:endParaRPr>
        </a:p>
      </xdr:txBody>
    </xdr:sp>
    <xdr:clientData/>
  </xdr:twoCellAnchor>
  <xdr:twoCellAnchor>
    <xdr:from>
      <xdr:col>11</xdr:col>
      <xdr:colOff>507999</xdr:colOff>
      <xdr:row>6</xdr:row>
      <xdr:rowOff>58234</xdr:rowOff>
    </xdr:from>
    <xdr:to>
      <xdr:col>13</xdr:col>
      <xdr:colOff>533399</xdr:colOff>
      <xdr:row>8</xdr:row>
      <xdr:rowOff>159834</xdr:rowOff>
    </xdr:to>
    <xdr:sp macro="" textlink="">
      <xdr:nvSpPr>
        <xdr:cNvPr id="5" name="Rectangle: Rounded Corners 4">
          <a:extLst>
            <a:ext uri="{FF2B5EF4-FFF2-40B4-BE49-F238E27FC236}">
              <a16:creationId xmlns:a16="http://schemas.microsoft.com/office/drawing/2014/main" id="{64E0EF66-6270-4162-8F98-FDD06AFF6531}"/>
            </a:ext>
          </a:extLst>
        </xdr:cNvPr>
        <xdr:cNvSpPr/>
      </xdr:nvSpPr>
      <xdr:spPr>
        <a:xfrm>
          <a:off x="7823199" y="1163134"/>
          <a:ext cx="1244600" cy="469900"/>
        </a:xfrm>
        <a:prstGeom prst="roundRect">
          <a:avLst>
            <a:gd name="adj" fmla="val 23333"/>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508000</xdr:colOff>
      <xdr:row>6</xdr:row>
      <xdr:rowOff>159834</xdr:rowOff>
    </xdr:from>
    <xdr:to>
      <xdr:col>13</xdr:col>
      <xdr:colOff>584199</xdr:colOff>
      <xdr:row>9</xdr:row>
      <xdr:rowOff>1084</xdr:rowOff>
    </xdr:to>
    <xdr:sp macro="" textlink="">
      <xdr:nvSpPr>
        <xdr:cNvPr id="6" name="TextBox 5">
          <a:hlinkClick xmlns:r="http://schemas.openxmlformats.org/officeDocument/2006/relationships" r:id="rId2"/>
          <a:extLst>
            <a:ext uri="{FF2B5EF4-FFF2-40B4-BE49-F238E27FC236}">
              <a16:creationId xmlns:a16="http://schemas.microsoft.com/office/drawing/2014/main" id="{49E31AFF-5AFA-4B8B-A861-7AFB6A5F51DC}"/>
            </a:ext>
          </a:extLst>
        </xdr:cNvPr>
        <xdr:cNvSpPr txBox="1"/>
      </xdr:nvSpPr>
      <xdr:spPr>
        <a:xfrm>
          <a:off x="7823200" y="1264734"/>
          <a:ext cx="1295399"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62A06"/>
              </a:solidFill>
              <a:latin typeface="Arial Black" panose="020B0A04020102020204" pitchFamily="34" charset="0"/>
            </a:rPr>
            <a:t>DASHBOARD</a:t>
          </a:r>
          <a:endParaRPr lang="en-US" sz="1100" b="1">
            <a:solidFill>
              <a:srgbClr val="562A06"/>
            </a:solidFill>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590550</xdr:colOff>
      <xdr:row>2</xdr:row>
      <xdr:rowOff>10584</xdr:rowOff>
    </xdr:from>
    <xdr:to>
      <xdr:col>25</xdr:col>
      <xdr:colOff>26670</xdr:colOff>
      <xdr:row>35</xdr:row>
      <xdr:rowOff>97452</xdr:rowOff>
    </xdr:to>
    <xdr:sp macro="" textlink="">
      <xdr:nvSpPr>
        <xdr:cNvPr id="2" name="Rectangle: Rounded Corners 1">
          <a:extLst>
            <a:ext uri="{FF2B5EF4-FFF2-40B4-BE49-F238E27FC236}">
              <a16:creationId xmlns:a16="http://schemas.microsoft.com/office/drawing/2014/main" id="{2D6C79D4-7FD9-E506-056D-CAE25078B48C}"/>
            </a:ext>
          </a:extLst>
        </xdr:cNvPr>
        <xdr:cNvSpPr/>
      </xdr:nvSpPr>
      <xdr:spPr>
        <a:xfrm>
          <a:off x="2419350" y="391584"/>
          <a:ext cx="12847320" cy="6373368"/>
        </a:xfrm>
        <a:prstGeom prst="roundRect">
          <a:avLst>
            <a:gd name="adj" fmla="val 2918"/>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584200</xdr:colOff>
      <xdr:row>8</xdr:row>
      <xdr:rowOff>101600</xdr:rowOff>
    </xdr:from>
    <xdr:to>
      <xdr:col>13</xdr:col>
      <xdr:colOff>431800</xdr:colOff>
      <xdr:row>22</xdr:row>
      <xdr:rowOff>127000</xdr:rowOff>
    </xdr:to>
    <xdr:sp macro="" textlink="">
      <xdr:nvSpPr>
        <xdr:cNvPr id="31" name="Rectangle: Rounded Corners 30">
          <a:extLst>
            <a:ext uri="{FF2B5EF4-FFF2-40B4-BE49-F238E27FC236}">
              <a16:creationId xmlns:a16="http://schemas.microsoft.com/office/drawing/2014/main" id="{EE0CC539-01FB-62BB-F22D-77F7BE74EC6A}"/>
            </a:ext>
          </a:extLst>
        </xdr:cNvPr>
        <xdr:cNvSpPr/>
      </xdr:nvSpPr>
      <xdr:spPr>
        <a:xfrm>
          <a:off x="3022600" y="1625600"/>
          <a:ext cx="5334000" cy="2692400"/>
        </a:xfrm>
        <a:prstGeom prst="roundRect">
          <a:avLst>
            <a:gd name="adj" fmla="val 5614"/>
          </a:avLst>
        </a:prstGeom>
        <a:solidFill>
          <a:srgbClr val="562A0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152400</xdr:colOff>
      <xdr:row>2</xdr:row>
      <xdr:rowOff>38100</xdr:rowOff>
    </xdr:from>
    <xdr:to>
      <xdr:col>5</xdr:col>
      <xdr:colOff>43850</xdr:colOff>
      <xdr:row>4</xdr:row>
      <xdr:rowOff>120415</xdr:rowOff>
    </xdr:to>
    <xdr:pic>
      <xdr:nvPicPr>
        <xdr:cNvPr id="3" name="Picture 2">
          <a:extLst>
            <a:ext uri="{FF2B5EF4-FFF2-40B4-BE49-F238E27FC236}">
              <a16:creationId xmlns:a16="http://schemas.microsoft.com/office/drawing/2014/main" id="{FB52F47B-6AD6-4D77-83D4-C1E358FB35E3}"/>
            </a:ext>
          </a:extLst>
        </xdr:cNvPr>
        <xdr:cNvPicPr>
          <a:picLocks noChangeAspect="1"/>
        </xdr:cNvPicPr>
      </xdr:nvPicPr>
      <xdr:blipFill>
        <a:blip xmlns:r="http://schemas.openxmlformats.org/officeDocument/2006/relationships" r:embed="rId1" cstate="print">
          <a:duotone>
            <a:schemeClr val="accent2">
              <a:shade val="45000"/>
              <a:satMod val="135000"/>
            </a:schemeClr>
            <a:prstClr val="white"/>
          </a:duotone>
          <a:extLst>
            <a:ext uri="{BEBA8EAE-BF5A-486C-A8C5-ECC9F3942E4B}">
              <a14:imgProps xmlns:a14="http://schemas.microsoft.com/office/drawing/2010/main">
                <a14:imgLayer r:embed="rId2">
                  <a14:imgEffect>
                    <a14:colorTemperature colorTemp="112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2590800" y="419100"/>
          <a:ext cx="501050" cy="463315"/>
        </a:xfrm>
        <a:prstGeom prst="rect">
          <a:avLst/>
        </a:prstGeom>
      </xdr:spPr>
    </xdr:pic>
    <xdr:clientData/>
  </xdr:twoCellAnchor>
  <xdr:twoCellAnchor>
    <xdr:from>
      <xdr:col>13</xdr:col>
      <xdr:colOff>520700</xdr:colOff>
      <xdr:row>8</xdr:row>
      <xdr:rowOff>12700</xdr:rowOff>
    </xdr:from>
    <xdr:to>
      <xdr:col>24</xdr:col>
      <xdr:colOff>498476</xdr:colOff>
      <xdr:row>21</xdr:row>
      <xdr:rowOff>184150</xdr:rowOff>
    </xdr:to>
    <xdr:sp macro="" textlink="">
      <xdr:nvSpPr>
        <xdr:cNvPr id="5" name="Rectangle: Rounded Corners 4">
          <a:extLst>
            <a:ext uri="{FF2B5EF4-FFF2-40B4-BE49-F238E27FC236}">
              <a16:creationId xmlns:a16="http://schemas.microsoft.com/office/drawing/2014/main" id="{6F3951D8-E1C0-4FE0-93D5-50BB441C985F}"/>
            </a:ext>
          </a:extLst>
        </xdr:cNvPr>
        <xdr:cNvSpPr/>
      </xdr:nvSpPr>
      <xdr:spPr>
        <a:xfrm>
          <a:off x="8445500" y="1536700"/>
          <a:ext cx="6683376" cy="2647950"/>
        </a:xfrm>
        <a:prstGeom prst="roundRect">
          <a:avLst>
            <a:gd name="adj" fmla="val 4257"/>
          </a:avLst>
        </a:prstGeom>
        <a:solidFill>
          <a:schemeClr val="bg1">
            <a:lumMod val="95000"/>
          </a:schemeClr>
        </a:solidFill>
        <a:ln w="3175">
          <a:solidFill>
            <a:srgbClr val="321904"/>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879FA1"/>
            </a:solidFill>
          </a:endParaRPr>
        </a:p>
      </xdr:txBody>
    </xdr:sp>
    <xdr:clientData/>
  </xdr:twoCellAnchor>
  <xdr:twoCellAnchor>
    <xdr:from>
      <xdr:col>13</xdr:col>
      <xdr:colOff>508000</xdr:colOff>
      <xdr:row>22</xdr:row>
      <xdr:rowOff>165100</xdr:rowOff>
    </xdr:from>
    <xdr:to>
      <xdr:col>24</xdr:col>
      <xdr:colOff>485776</xdr:colOff>
      <xdr:row>35</xdr:row>
      <xdr:rowOff>12700</xdr:rowOff>
    </xdr:to>
    <xdr:sp macro="" textlink="">
      <xdr:nvSpPr>
        <xdr:cNvPr id="7" name="Rectangle: Rounded Corners 6">
          <a:extLst>
            <a:ext uri="{FF2B5EF4-FFF2-40B4-BE49-F238E27FC236}">
              <a16:creationId xmlns:a16="http://schemas.microsoft.com/office/drawing/2014/main" id="{DF1B35F2-441D-4520-8B51-D91D4C173866}"/>
            </a:ext>
          </a:extLst>
        </xdr:cNvPr>
        <xdr:cNvSpPr/>
      </xdr:nvSpPr>
      <xdr:spPr>
        <a:xfrm>
          <a:off x="8432800" y="4356100"/>
          <a:ext cx="6683376" cy="2324100"/>
        </a:xfrm>
        <a:prstGeom prst="roundRect">
          <a:avLst>
            <a:gd name="adj" fmla="val 4257"/>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57150</xdr:colOff>
      <xdr:row>22</xdr:row>
      <xdr:rowOff>182034</xdr:rowOff>
    </xdr:from>
    <xdr:to>
      <xdr:col>13</xdr:col>
      <xdr:colOff>304801</xdr:colOff>
      <xdr:row>35</xdr:row>
      <xdr:rowOff>29634</xdr:rowOff>
    </xdr:to>
    <xdr:sp macro="" textlink="">
      <xdr:nvSpPr>
        <xdr:cNvPr id="8" name="Rectangle: Rounded Corners 7">
          <a:extLst>
            <a:ext uri="{FF2B5EF4-FFF2-40B4-BE49-F238E27FC236}">
              <a16:creationId xmlns:a16="http://schemas.microsoft.com/office/drawing/2014/main" id="{CB58C595-B7C5-4D10-8725-7E1445260BD3}"/>
            </a:ext>
          </a:extLst>
        </xdr:cNvPr>
        <xdr:cNvSpPr/>
      </xdr:nvSpPr>
      <xdr:spPr>
        <a:xfrm>
          <a:off x="3105150" y="4373034"/>
          <a:ext cx="5124451" cy="2324100"/>
        </a:xfrm>
        <a:prstGeom prst="roundRect">
          <a:avLst>
            <a:gd name="adj" fmla="val 4257"/>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69850</xdr:colOff>
      <xdr:row>8</xdr:row>
      <xdr:rowOff>124884</xdr:rowOff>
    </xdr:from>
    <xdr:to>
      <xdr:col>9</xdr:col>
      <xdr:colOff>130250</xdr:colOff>
      <xdr:row>15</xdr:row>
      <xdr:rowOff>29634</xdr:rowOff>
    </xdr:to>
    <xdr:sp macro="" textlink="">
      <xdr:nvSpPr>
        <xdr:cNvPr id="9" name="Rectangle: Rounded Corners 8">
          <a:extLst>
            <a:ext uri="{FF2B5EF4-FFF2-40B4-BE49-F238E27FC236}">
              <a16:creationId xmlns:a16="http://schemas.microsoft.com/office/drawing/2014/main" id="{A79A0192-0421-429D-8262-163963CE1F6F}"/>
            </a:ext>
          </a:extLst>
        </xdr:cNvPr>
        <xdr:cNvSpPr/>
      </xdr:nvSpPr>
      <xdr:spPr>
        <a:xfrm>
          <a:off x="3117850" y="1648884"/>
          <a:ext cx="2498800" cy="1238250"/>
        </a:xfrm>
        <a:prstGeom prst="roundRect">
          <a:avLst>
            <a:gd name="adj" fmla="val 8537"/>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285750</xdr:colOff>
      <xdr:row>8</xdr:row>
      <xdr:rowOff>124884</xdr:rowOff>
    </xdr:from>
    <xdr:to>
      <xdr:col>13</xdr:col>
      <xdr:colOff>346150</xdr:colOff>
      <xdr:row>15</xdr:row>
      <xdr:rowOff>29634</xdr:rowOff>
    </xdr:to>
    <xdr:sp macro="" textlink="">
      <xdr:nvSpPr>
        <xdr:cNvPr id="10" name="Rectangle: Rounded Corners 9">
          <a:extLst>
            <a:ext uri="{FF2B5EF4-FFF2-40B4-BE49-F238E27FC236}">
              <a16:creationId xmlns:a16="http://schemas.microsoft.com/office/drawing/2014/main" id="{4C566E13-7A82-4758-84F1-C209F00975F7}"/>
            </a:ext>
          </a:extLst>
        </xdr:cNvPr>
        <xdr:cNvSpPr/>
      </xdr:nvSpPr>
      <xdr:spPr>
        <a:xfrm>
          <a:off x="5772150" y="1648884"/>
          <a:ext cx="2498800" cy="1238250"/>
        </a:xfrm>
        <a:prstGeom prst="roundRect">
          <a:avLst>
            <a:gd name="adj" fmla="val 691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79375</xdr:colOff>
      <xdr:row>15</xdr:row>
      <xdr:rowOff>182034</xdr:rowOff>
    </xdr:from>
    <xdr:to>
      <xdr:col>9</xdr:col>
      <xdr:colOff>139775</xdr:colOff>
      <xdr:row>22</xdr:row>
      <xdr:rowOff>77259</xdr:rowOff>
    </xdr:to>
    <xdr:sp macro="" textlink="">
      <xdr:nvSpPr>
        <xdr:cNvPr id="11" name="Rectangle: Rounded Corners 10">
          <a:extLst>
            <a:ext uri="{FF2B5EF4-FFF2-40B4-BE49-F238E27FC236}">
              <a16:creationId xmlns:a16="http://schemas.microsoft.com/office/drawing/2014/main" id="{4D3372EE-8A6A-42C3-AB53-2BDC4969C75E}"/>
            </a:ext>
          </a:extLst>
        </xdr:cNvPr>
        <xdr:cNvSpPr/>
      </xdr:nvSpPr>
      <xdr:spPr>
        <a:xfrm>
          <a:off x="3127375" y="3039534"/>
          <a:ext cx="2498800" cy="1228725"/>
        </a:xfrm>
        <a:prstGeom prst="roundRect">
          <a:avLst>
            <a:gd name="adj" fmla="val 8537"/>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295275</xdr:colOff>
      <xdr:row>15</xdr:row>
      <xdr:rowOff>182034</xdr:rowOff>
    </xdr:from>
    <xdr:to>
      <xdr:col>13</xdr:col>
      <xdr:colOff>355675</xdr:colOff>
      <xdr:row>22</xdr:row>
      <xdr:rowOff>77259</xdr:rowOff>
    </xdr:to>
    <xdr:sp macro="" textlink="">
      <xdr:nvSpPr>
        <xdr:cNvPr id="12" name="Rectangle: Rounded Corners 11">
          <a:extLst>
            <a:ext uri="{FF2B5EF4-FFF2-40B4-BE49-F238E27FC236}">
              <a16:creationId xmlns:a16="http://schemas.microsoft.com/office/drawing/2014/main" id="{0DB798CA-966C-4E4E-AD7D-A9857FFC3C90}"/>
            </a:ext>
          </a:extLst>
        </xdr:cNvPr>
        <xdr:cNvSpPr/>
      </xdr:nvSpPr>
      <xdr:spPr>
        <a:xfrm>
          <a:off x="5781675" y="3039534"/>
          <a:ext cx="2498800" cy="1228725"/>
        </a:xfrm>
        <a:prstGeom prst="roundRect">
          <a:avLst>
            <a:gd name="adj" fmla="val 6911"/>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101600</xdr:colOff>
      <xdr:row>9</xdr:row>
      <xdr:rowOff>0</xdr:rowOff>
    </xdr:from>
    <xdr:to>
      <xdr:col>6</xdr:col>
      <xdr:colOff>76200</xdr:colOff>
      <xdr:row>10</xdr:row>
      <xdr:rowOff>76200</xdr:rowOff>
    </xdr:to>
    <xdr:sp macro="" textlink="">
      <xdr:nvSpPr>
        <xdr:cNvPr id="13" name="TextBox 12">
          <a:extLst>
            <a:ext uri="{FF2B5EF4-FFF2-40B4-BE49-F238E27FC236}">
              <a16:creationId xmlns:a16="http://schemas.microsoft.com/office/drawing/2014/main" id="{1DC73A05-3594-1C07-8172-6EE67EEB18BD}"/>
            </a:ext>
          </a:extLst>
        </xdr:cNvPr>
        <xdr:cNvSpPr txBox="1"/>
      </xdr:nvSpPr>
      <xdr:spPr>
        <a:xfrm>
          <a:off x="3149600" y="1714500"/>
          <a:ext cx="584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25000"/>
                </a:schemeClr>
              </a:solidFill>
            </a:rPr>
            <a:t>Sales</a:t>
          </a:r>
          <a:endParaRPr lang="en-US" sz="1100" b="1">
            <a:solidFill>
              <a:schemeClr val="bg2">
                <a:lumMod val="25000"/>
              </a:schemeClr>
            </a:solidFill>
          </a:endParaRPr>
        </a:p>
      </xdr:txBody>
    </xdr:sp>
    <xdr:clientData/>
  </xdr:twoCellAnchor>
  <xdr:twoCellAnchor>
    <xdr:from>
      <xdr:col>8</xdr:col>
      <xdr:colOff>330200</xdr:colOff>
      <xdr:row>4</xdr:row>
      <xdr:rowOff>25400</xdr:rowOff>
    </xdr:from>
    <xdr:to>
      <xdr:col>16</xdr:col>
      <xdr:colOff>330200</xdr:colOff>
      <xdr:row>6</xdr:row>
      <xdr:rowOff>88900</xdr:rowOff>
    </xdr:to>
    <xdr:sp macro="" textlink="">
      <xdr:nvSpPr>
        <xdr:cNvPr id="14" name="TextBox 13">
          <a:extLst>
            <a:ext uri="{FF2B5EF4-FFF2-40B4-BE49-F238E27FC236}">
              <a16:creationId xmlns:a16="http://schemas.microsoft.com/office/drawing/2014/main" id="{BF258F6B-0C5B-44FC-968C-34A68C99360E}"/>
            </a:ext>
          </a:extLst>
        </xdr:cNvPr>
        <xdr:cNvSpPr txBox="1"/>
      </xdr:nvSpPr>
      <xdr:spPr>
        <a:xfrm>
          <a:off x="5207000" y="787400"/>
          <a:ext cx="4876800"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25000"/>
                </a:schemeClr>
              </a:solidFill>
            </a:rPr>
            <a:t>Sales</a:t>
          </a:r>
          <a:r>
            <a:rPr lang="en-US" sz="2400" b="1" baseline="0">
              <a:solidFill>
                <a:schemeClr val="bg2">
                  <a:lumMod val="25000"/>
                </a:schemeClr>
              </a:solidFill>
            </a:rPr>
            <a:t> Performance (2024 Vs 2025)</a:t>
          </a:r>
          <a:endParaRPr lang="en-US" sz="1800" b="1">
            <a:solidFill>
              <a:schemeClr val="bg2">
                <a:lumMod val="25000"/>
              </a:schemeClr>
            </a:solidFill>
          </a:endParaRPr>
        </a:p>
      </xdr:txBody>
    </xdr:sp>
    <xdr:clientData/>
  </xdr:twoCellAnchor>
  <xdr:twoCellAnchor>
    <xdr:from>
      <xdr:col>13</xdr:col>
      <xdr:colOff>495300</xdr:colOff>
      <xdr:row>22</xdr:row>
      <xdr:rowOff>101600</xdr:rowOff>
    </xdr:from>
    <xdr:to>
      <xdr:col>17</xdr:col>
      <xdr:colOff>241300</xdr:colOff>
      <xdr:row>24</xdr:row>
      <xdr:rowOff>25400</xdr:rowOff>
    </xdr:to>
    <xdr:sp macro="" textlink="">
      <xdr:nvSpPr>
        <xdr:cNvPr id="15" name="TextBox 14">
          <a:extLst>
            <a:ext uri="{FF2B5EF4-FFF2-40B4-BE49-F238E27FC236}">
              <a16:creationId xmlns:a16="http://schemas.microsoft.com/office/drawing/2014/main" id="{B91A0FE8-1576-48FF-AED2-E788424E302E}"/>
            </a:ext>
          </a:extLst>
        </xdr:cNvPr>
        <xdr:cNvSpPr txBox="1"/>
      </xdr:nvSpPr>
      <xdr:spPr>
        <a:xfrm>
          <a:off x="8420100" y="4292600"/>
          <a:ext cx="2184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25000"/>
                </a:schemeClr>
              </a:solidFill>
            </a:rPr>
            <a:t>Product Sales Breakdown</a:t>
          </a:r>
          <a:endParaRPr lang="en-US" sz="1050" b="1">
            <a:solidFill>
              <a:schemeClr val="bg2">
                <a:lumMod val="25000"/>
              </a:schemeClr>
            </a:solidFill>
          </a:endParaRPr>
        </a:p>
      </xdr:txBody>
    </xdr:sp>
    <xdr:clientData/>
  </xdr:twoCellAnchor>
  <xdr:twoCellAnchor>
    <xdr:from>
      <xdr:col>9</xdr:col>
      <xdr:colOff>330200</xdr:colOff>
      <xdr:row>16</xdr:row>
      <xdr:rowOff>50800</xdr:rowOff>
    </xdr:from>
    <xdr:to>
      <xdr:col>10</xdr:col>
      <xdr:colOff>393700</xdr:colOff>
      <xdr:row>17</xdr:row>
      <xdr:rowOff>127000</xdr:rowOff>
    </xdr:to>
    <xdr:sp macro="" textlink="">
      <xdr:nvSpPr>
        <xdr:cNvPr id="16" name="TextBox 15">
          <a:extLst>
            <a:ext uri="{FF2B5EF4-FFF2-40B4-BE49-F238E27FC236}">
              <a16:creationId xmlns:a16="http://schemas.microsoft.com/office/drawing/2014/main" id="{C3D314A8-A793-465A-9645-E33D3278747D}"/>
            </a:ext>
          </a:extLst>
        </xdr:cNvPr>
        <xdr:cNvSpPr txBox="1"/>
      </xdr:nvSpPr>
      <xdr:spPr>
        <a:xfrm>
          <a:off x="5816600" y="3098800"/>
          <a:ext cx="673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25000"/>
                </a:schemeClr>
              </a:solidFill>
            </a:rPr>
            <a:t>Profit</a:t>
          </a:r>
          <a:endParaRPr lang="en-US" sz="1100" b="1">
            <a:solidFill>
              <a:schemeClr val="bg2">
                <a:lumMod val="25000"/>
              </a:schemeClr>
            </a:solidFill>
          </a:endParaRPr>
        </a:p>
      </xdr:txBody>
    </xdr:sp>
    <xdr:clientData/>
  </xdr:twoCellAnchor>
  <xdr:twoCellAnchor>
    <xdr:from>
      <xdr:col>5</xdr:col>
      <xdr:colOff>76200</xdr:colOff>
      <xdr:row>22</xdr:row>
      <xdr:rowOff>127000</xdr:rowOff>
    </xdr:from>
    <xdr:to>
      <xdr:col>8</xdr:col>
      <xdr:colOff>482600</xdr:colOff>
      <xdr:row>24</xdr:row>
      <xdr:rowOff>50800</xdr:rowOff>
    </xdr:to>
    <xdr:sp macro="" textlink="">
      <xdr:nvSpPr>
        <xdr:cNvPr id="17" name="TextBox 16">
          <a:extLst>
            <a:ext uri="{FF2B5EF4-FFF2-40B4-BE49-F238E27FC236}">
              <a16:creationId xmlns:a16="http://schemas.microsoft.com/office/drawing/2014/main" id="{B12B0EC6-AB79-444A-88A1-5EBEA429E192}"/>
            </a:ext>
          </a:extLst>
        </xdr:cNvPr>
        <xdr:cNvSpPr txBox="1"/>
      </xdr:nvSpPr>
      <xdr:spPr>
        <a:xfrm>
          <a:off x="3124200" y="4318000"/>
          <a:ext cx="2235200" cy="304800"/>
        </a:xfrm>
        <a:prstGeom prst="rect">
          <a:avLst/>
        </a:prstGeom>
        <a:noFill/>
        <a:ln w="698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25000"/>
                </a:schemeClr>
              </a:solidFill>
            </a:rPr>
            <a:t>Branch</a:t>
          </a:r>
          <a:r>
            <a:rPr lang="en-US" sz="1200" b="1" baseline="0">
              <a:solidFill>
                <a:schemeClr val="bg2">
                  <a:lumMod val="25000"/>
                </a:schemeClr>
              </a:solidFill>
            </a:rPr>
            <a:t> Sales Distribution</a:t>
          </a:r>
          <a:endParaRPr lang="en-US" sz="1050" b="1">
            <a:solidFill>
              <a:schemeClr val="bg2">
                <a:lumMod val="25000"/>
              </a:schemeClr>
            </a:solidFill>
          </a:endParaRPr>
        </a:p>
      </xdr:txBody>
    </xdr:sp>
    <xdr:clientData/>
  </xdr:twoCellAnchor>
  <xdr:twoCellAnchor>
    <xdr:from>
      <xdr:col>5</xdr:col>
      <xdr:colOff>165100</xdr:colOff>
      <xdr:row>16</xdr:row>
      <xdr:rowOff>25400</xdr:rowOff>
    </xdr:from>
    <xdr:to>
      <xdr:col>6</xdr:col>
      <xdr:colOff>139700</xdr:colOff>
      <xdr:row>17</xdr:row>
      <xdr:rowOff>101600</xdr:rowOff>
    </xdr:to>
    <xdr:sp macro="" textlink="">
      <xdr:nvSpPr>
        <xdr:cNvPr id="18" name="TextBox 17">
          <a:extLst>
            <a:ext uri="{FF2B5EF4-FFF2-40B4-BE49-F238E27FC236}">
              <a16:creationId xmlns:a16="http://schemas.microsoft.com/office/drawing/2014/main" id="{137B31E2-7F14-4F81-B730-FB47E6E20375}"/>
            </a:ext>
          </a:extLst>
        </xdr:cNvPr>
        <xdr:cNvSpPr txBox="1"/>
      </xdr:nvSpPr>
      <xdr:spPr>
        <a:xfrm>
          <a:off x="3213100" y="3073400"/>
          <a:ext cx="584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Cost</a:t>
          </a:r>
          <a:endParaRPr lang="en-US" sz="1100" b="1"/>
        </a:p>
      </xdr:txBody>
    </xdr:sp>
    <xdr:clientData/>
  </xdr:twoCellAnchor>
  <xdr:twoCellAnchor>
    <xdr:from>
      <xdr:col>9</xdr:col>
      <xdr:colOff>317500</xdr:colOff>
      <xdr:row>8</xdr:row>
      <xdr:rowOff>165100</xdr:rowOff>
    </xdr:from>
    <xdr:to>
      <xdr:col>11</xdr:col>
      <xdr:colOff>215900</xdr:colOff>
      <xdr:row>10</xdr:row>
      <xdr:rowOff>63500</xdr:rowOff>
    </xdr:to>
    <xdr:sp macro="" textlink="">
      <xdr:nvSpPr>
        <xdr:cNvPr id="19" name="TextBox 18">
          <a:extLst>
            <a:ext uri="{FF2B5EF4-FFF2-40B4-BE49-F238E27FC236}">
              <a16:creationId xmlns:a16="http://schemas.microsoft.com/office/drawing/2014/main" id="{EEBB9B1D-A64D-4C09-A97A-03D413DC18CB}"/>
            </a:ext>
          </a:extLst>
        </xdr:cNvPr>
        <xdr:cNvSpPr txBox="1"/>
      </xdr:nvSpPr>
      <xdr:spPr>
        <a:xfrm>
          <a:off x="5803900" y="1689100"/>
          <a:ext cx="11176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25000"/>
                </a:schemeClr>
              </a:solidFill>
            </a:rPr>
            <a:t>Quantity</a:t>
          </a:r>
          <a:endParaRPr lang="en-US" sz="1100" b="1">
            <a:solidFill>
              <a:schemeClr val="bg2">
                <a:lumMod val="25000"/>
              </a:schemeClr>
            </a:solidFill>
          </a:endParaRPr>
        </a:p>
      </xdr:txBody>
    </xdr:sp>
    <xdr:clientData/>
  </xdr:twoCellAnchor>
  <xdr:twoCellAnchor>
    <xdr:from>
      <xdr:col>14</xdr:col>
      <xdr:colOff>12700</xdr:colOff>
      <xdr:row>8</xdr:row>
      <xdr:rowOff>63500</xdr:rowOff>
    </xdr:from>
    <xdr:to>
      <xdr:col>17</xdr:col>
      <xdr:colOff>355600</xdr:colOff>
      <xdr:row>10</xdr:row>
      <xdr:rowOff>50800</xdr:rowOff>
    </xdr:to>
    <xdr:sp macro="" textlink="">
      <xdr:nvSpPr>
        <xdr:cNvPr id="20" name="TextBox 19">
          <a:extLst>
            <a:ext uri="{FF2B5EF4-FFF2-40B4-BE49-F238E27FC236}">
              <a16:creationId xmlns:a16="http://schemas.microsoft.com/office/drawing/2014/main" id="{406793FD-F5F9-49CE-A51C-AF727FF2BA2D}"/>
            </a:ext>
          </a:extLst>
        </xdr:cNvPr>
        <xdr:cNvSpPr txBox="1"/>
      </xdr:nvSpPr>
      <xdr:spPr>
        <a:xfrm>
          <a:off x="8547100" y="1587500"/>
          <a:ext cx="21717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25000"/>
                </a:schemeClr>
              </a:solidFill>
            </a:rPr>
            <a:t>Monthly</a:t>
          </a:r>
          <a:r>
            <a:rPr lang="en-US" sz="1400" b="1" baseline="0">
              <a:solidFill>
                <a:schemeClr val="bg2">
                  <a:lumMod val="25000"/>
                </a:schemeClr>
              </a:solidFill>
            </a:rPr>
            <a:t> Revenue Trend</a:t>
          </a:r>
          <a:endParaRPr lang="en-US" sz="1100" b="1">
            <a:solidFill>
              <a:schemeClr val="bg2">
                <a:lumMod val="25000"/>
              </a:schemeClr>
            </a:solidFill>
          </a:endParaRPr>
        </a:p>
      </xdr:txBody>
    </xdr:sp>
    <xdr:clientData/>
  </xdr:twoCellAnchor>
  <xdr:twoCellAnchor>
    <xdr:from>
      <xdr:col>5</xdr:col>
      <xdr:colOff>12700</xdr:colOff>
      <xdr:row>10</xdr:row>
      <xdr:rowOff>76200</xdr:rowOff>
    </xdr:from>
    <xdr:to>
      <xdr:col>7</xdr:col>
      <xdr:colOff>25400</xdr:colOff>
      <xdr:row>12</xdr:row>
      <xdr:rowOff>101600</xdr:rowOff>
    </xdr:to>
    <xdr:sp macro="" textlink="Analysis!B8">
      <xdr:nvSpPr>
        <xdr:cNvPr id="21" name="TextBox 20">
          <a:extLst>
            <a:ext uri="{FF2B5EF4-FFF2-40B4-BE49-F238E27FC236}">
              <a16:creationId xmlns:a16="http://schemas.microsoft.com/office/drawing/2014/main" id="{528823E8-4817-4DE1-A88D-9C20A15CDB73}"/>
            </a:ext>
          </a:extLst>
        </xdr:cNvPr>
        <xdr:cNvSpPr txBox="1"/>
      </xdr:nvSpPr>
      <xdr:spPr>
        <a:xfrm>
          <a:off x="3060700" y="1981200"/>
          <a:ext cx="12319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29D714-3BDA-454C-9E6D-364C8745EA47}" type="TxLink">
            <a:rPr lang="en-US" sz="2400" b="0" i="0" u="none" strike="noStrike">
              <a:solidFill>
                <a:srgbClr val="432105"/>
              </a:solidFill>
              <a:latin typeface="Calibri"/>
              <a:cs typeface="Calibri"/>
            </a:rPr>
            <a:pPr/>
            <a:t>$293.2k</a:t>
          </a:fld>
          <a:endParaRPr lang="en-US" sz="2400" b="0">
            <a:solidFill>
              <a:srgbClr val="432105"/>
            </a:solidFill>
          </a:endParaRPr>
        </a:p>
      </xdr:txBody>
    </xdr:sp>
    <xdr:clientData/>
  </xdr:twoCellAnchor>
  <xdr:twoCellAnchor>
    <xdr:from>
      <xdr:col>9</xdr:col>
      <xdr:colOff>317500</xdr:colOff>
      <xdr:row>10</xdr:row>
      <xdr:rowOff>63500</xdr:rowOff>
    </xdr:from>
    <xdr:to>
      <xdr:col>11</xdr:col>
      <xdr:colOff>63500</xdr:colOff>
      <xdr:row>12</xdr:row>
      <xdr:rowOff>165100</xdr:rowOff>
    </xdr:to>
    <xdr:sp macro="" textlink="Analysis!B9">
      <xdr:nvSpPr>
        <xdr:cNvPr id="22" name="TextBox 21">
          <a:extLst>
            <a:ext uri="{FF2B5EF4-FFF2-40B4-BE49-F238E27FC236}">
              <a16:creationId xmlns:a16="http://schemas.microsoft.com/office/drawing/2014/main" id="{F86A2924-A069-4337-960C-040C77994169}"/>
            </a:ext>
          </a:extLst>
        </xdr:cNvPr>
        <xdr:cNvSpPr txBox="1"/>
      </xdr:nvSpPr>
      <xdr:spPr>
        <a:xfrm>
          <a:off x="5803900" y="1968500"/>
          <a:ext cx="9652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B7602B-7AB4-405A-A047-635D27C5BFCC}" type="TxLink">
            <a:rPr lang="en-US" sz="2400" b="0" i="0" u="none" strike="noStrike">
              <a:solidFill>
                <a:srgbClr val="432105"/>
              </a:solidFill>
              <a:latin typeface="Calibri"/>
              <a:ea typeface="+mn-ea"/>
              <a:cs typeface="Calibri"/>
            </a:rPr>
            <a:pPr marL="0" indent="0"/>
            <a:t>221</a:t>
          </a:fld>
          <a:endParaRPr lang="en-US" sz="2400" b="0" i="0" u="none" strike="noStrike">
            <a:solidFill>
              <a:srgbClr val="432105"/>
            </a:solidFill>
            <a:latin typeface="Calibri"/>
            <a:ea typeface="+mn-ea"/>
            <a:cs typeface="Calibri"/>
          </a:endParaRPr>
        </a:p>
      </xdr:txBody>
    </xdr:sp>
    <xdr:clientData/>
  </xdr:twoCellAnchor>
  <xdr:twoCellAnchor>
    <xdr:from>
      <xdr:col>9</xdr:col>
      <xdr:colOff>228600</xdr:colOff>
      <xdr:row>17</xdr:row>
      <xdr:rowOff>101600</xdr:rowOff>
    </xdr:from>
    <xdr:to>
      <xdr:col>11</xdr:col>
      <xdr:colOff>241300</xdr:colOff>
      <xdr:row>20</xdr:row>
      <xdr:rowOff>0</xdr:rowOff>
    </xdr:to>
    <xdr:sp macro="" textlink="Analysis!B11">
      <xdr:nvSpPr>
        <xdr:cNvPr id="23" name="TextBox 22">
          <a:extLst>
            <a:ext uri="{FF2B5EF4-FFF2-40B4-BE49-F238E27FC236}">
              <a16:creationId xmlns:a16="http://schemas.microsoft.com/office/drawing/2014/main" id="{14ED906C-B031-4A76-A68F-DC843FDA6B71}"/>
            </a:ext>
          </a:extLst>
        </xdr:cNvPr>
        <xdr:cNvSpPr txBox="1"/>
      </xdr:nvSpPr>
      <xdr:spPr>
        <a:xfrm>
          <a:off x="5715000" y="3340100"/>
          <a:ext cx="12319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E2B399-55EE-435A-B100-78E7F84D5D03}" type="TxLink">
            <a:rPr lang="en-US" sz="2400" b="0" i="0" u="none" strike="noStrike">
              <a:solidFill>
                <a:srgbClr val="432105"/>
              </a:solidFill>
              <a:latin typeface="Calibri"/>
              <a:cs typeface="Calibri"/>
            </a:rPr>
            <a:pPr/>
            <a:t>$212.8k</a:t>
          </a:fld>
          <a:endParaRPr lang="en-US" sz="4400" b="0">
            <a:solidFill>
              <a:srgbClr val="432105"/>
            </a:solidFill>
          </a:endParaRPr>
        </a:p>
      </xdr:txBody>
    </xdr:sp>
    <xdr:clientData/>
  </xdr:twoCellAnchor>
  <xdr:twoCellAnchor>
    <xdr:from>
      <xdr:col>5</xdr:col>
      <xdr:colOff>88900</xdr:colOff>
      <xdr:row>17</xdr:row>
      <xdr:rowOff>114300</xdr:rowOff>
    </xdr:from>
    <xdr:to>
      <xdr:col>7</xdr:col>
      <xdr:colOff>101600</xdr:colOff>
      <xdr:row>19</xdr:row>
      <xdr:rowOff>152400</xdr:rowOff>
    </xdr:to>
    <xdr:sp macro="" textlink="Analysis!B10">
      <xdr:nvSpPr>
        <xdr:cNvPr id="24" name="TextBox 23">
          <a:extLst>
            <a:ext uri="{FF2B5EF4-FFF2-40B4-BE49-F238E27FC236}">
              <a16:creationId xmlns:a16="http://schemas.microsoft.com/office/drawing/2014/main" id="{74BF1148-D4B1-4F45-B024-AB0339588577}"/>
            </a:ext>
          </a:extLst>
        </xdr:cNvPr>
        <xdr:cNvSpPr txBox="1"/>
      </xdr:nvSpPr>
      <xdr:spPr>
        <a:xfrm>
          <a:off x="3136900" y="3352800"/>
          <a:ext cx="12319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194962-1BE9-4A2B-A302-B38BA4535888}" type="TxLink">
            <a:rPr lang="en-US" sz="2400" b="0" i="0" u="none" strike="noStrike">
              <a:solidFill>
                <a:srgbClr val="432105"/>
              </a:solidFill>
              <a:latin typeface="Calibri"/>
              <a:cs typeface="Calibri"/>
            </a:rPr>
            <a:pPr/>
            <a:t>$80.4k</a:t>
          </a:fld>
          <a:endParaRPr lang="en-US" sz="4400" b="0">
            <a:solidFill>
              <a:srgbClr val="432105"/>
            </a:solidFill>
          </a:endParaRPr>
        </a:p>
      </xdr:txBody>
    </xdr:sp>
    <xdr:clientData/>
  </xdr:twoCellAnchor>
  <xdr:twoCellAnchor>
    <xdr:from>
      <xdr:col>5</xdr:col>
      <xdr:colOff>76200</xdr:colOff>
      <xdr:row>13</xdr:row>
      <xdr:rowOff>50800</xdr:rowOff>
    </xdr:from>
    <xdr:to>
      <xdr:col>6</xdr:col>
      <xdr:colOff>444500</xdr:colOff>
      <xdr:row>14</xdr:row>
      <xdr:rowOff>139700</xdr:rowOff>
    </xdr:to>
    <xdr:sp macro="" textlink="Analysis!E8">
      <xdr:nvSpPr>
        <xdr:cNvPr id="25" name="TextBox 24">
          <a:extLst>
            <a:ext uri="{FF2B5EF4-FFF2-40B4-BE49-F238E27FC236}">
              <a16:creationId xmlns:a16="http://schemas.microsoft.com/office/drawing/2014/main" id="{C236C8FD-1432-4B7F-A77E-99495F8E1EE1}"/>
            </a:ext>
          </a:extLst>
        </xdr:cNvPr>
        <xdr:cNvSpPr txBox="1"/>
      </xdr:nvSpPr>
      <xdr:spPr>
        <a:xfrm>
          <a:off x="3124200" y="2527300"/>
          <a:ext cx="9779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7F6DA7-E557-48D8-827F-2B626FFF3CC7}" type="TxLink">
            <a:rPr lang="en-US" sz="1200" b="0" i="0" u="none" strike="noStrike">
              <a:solidFill>
                <a:srgbClr val="432105"/>
              </a:solidFill>
              <a:latin typeface="Calibri"/>
              <a:cs typeface="Calibri"/>
            </a:rPr>
            <a:pPr/>
            <a:t>▲58%VsLY</a:t>
          </a:fld>
          <a:endParaRPr lang="en-US" sz="2800" b="0">
            <a:solidFill>
              <a:srgbClr val="432105"/>
            </a:solidFill>
          </a:endParaRPr>
        </a:p>
      </xdr:txBody>
    </xdr:sp>
    <xdr:clientData/>
  </xdr:twoCellAnchor>
  <xdr:twoCellAnchor>
    <xdr:from>
      <xdr:col>5</xdr:col>
      <xdr:colOff>177800</xdr:colOff>
      <xdr:row>20</xdr:row>
      <xdr:rowOff>101600</xdr:rowOff>
    </xdr:from>
    <xdr:to>
      <xdr:col>6</xdr:col>
      <xdr:colOff>469900</xdr:colOff>
      <xdr:row>22</xdr:row>
      <xdr:rowOff>38100</xdr:rowOff>
    </xdr:to>
    <xdr:sp macro="" textlink="Analysis!E10">
      <xdr:nvSpPr>
        <xdr:cNvPr id="26" name="TextBox 25">
          <a:extLst>
            <a:ext uri="{FF2B5EF4-FFF2-40B4-BE49-F238E27FC236}">
              <a16:creationId xmlns:a16="http://schemas.microsoft.com/office/drawing/2014/main" id="{83A18BE2-2706-4792-81DE-B53C974566F0}"/>
            </a:ext>
          </a:extLst>
        </xdr:cNvPr>
        <xdr:cNvSpPr txBox="1"/>
      </xdr:nvSpPr>
      <xdr:spPr>
        <a:xfrm>
          <a:off x="3225800" y="3911600"/>
          <a:ext cx="9017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724D5D-CCF6-4DBD-9601-173C458A5AFD}" type="TxLink">
            <a:rPr lang="en-US" sz="1200" b="0" i="0" u="none" strike="noStrike">
              <a:solidFill>
                <a:srgbClr val="432105"/>
              </a:solidFill>
              <a:latin typeface="Calibri"/>
              <a:cs typeface="Calibri"/>
            </a:rPr>
            <a:pPr/>
            <a:t>▲37%VsLY</a:t>
          </a:fld>
          <a:endParaRPr lang="en-US" sz="2800" b="0">
            <a:solidFill>
              <a:srgbClr val="432105"/>
            </a:solidFill>
          </a:endParaRPr>
        </a:p>
      </xdr:txBody>
    </xdr:sp>
    <xdr:clientData/>
  </xdr:twoCellAnchor>
  <xdr:twoCellAnchor>
    <xdr:from>
      <xdr:col>9</xdr:col>
      <xdr:colOff>317500</xdr:colOff>
      <xdr:row>20</xdr:row>
      <xdr:rowOff>101600</xdr:rowOff>
    </xdr:from>
    <xdr:to>
      <xdr:col>11</xdr:col>
      <xdr:colOff>12700</xdr:colOff>
      <xdr:row>22</xdr:row>
      <xdr:rowOff>0</xdr:rowOff>
    </xdr:to>
    <xdr:sp macro="" textlink="Analysis!E11">
      <xdr:nvSpPr>
        <xdr:cNvPr id="27" name="TextBox 26">
          <a:extLst>
            <a:ext uri="{FF2B5EF4-FFF2-40B4-BE49-F238E27FC236}">
              <a16:creationId xmlns:a16="http://schemas.microsoft.com/office/drawing/2014/main" id="{C066FF11-8444-44B3-B5D6-2B564024B12A}"/>
            </a:ext>
          </a:extLst>
        </xdr:cNvPr>
        <xdr:cNvSpPr txBox="1"/>
      </xdr:nvSpPr>
      <xdr:spPr>
        <a:xfrm>
          <a:off x="5803900" y="3911600"/>
          <a:ext cx="914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A611F6-3B8B-48D5-8A3B-41A9FA27FD31}" type="TxLink">
            <a:rPr lang="en-US" sz="1100" b="0" i="0" u="none" strike="noStrike">
              <a:solidFill>
                <a:srgbClr val="432105"/>
              </a:solidFill>
              <a:latin typeface="Calibri"/>
              <a:cs typeface="Calibri"/>
            </a:rPr>
            <a:pPr/>
            <a:t>▲68%VsLY</a:t>
          </a:fld>
          <a:endParaRPr lang="en-US" sz="2800" b="0">
            <a:solidFill>
              <a:srgbClr val="432105"/>
            </a:solidFill>
          </a:endParaRPr>
        </a:p>
      </xdr:txBody>
    </xdr:sp>
    <xdr:clientData/>
  </xdr:twoCellAnchor>
  <xdr:twoCellAnchor>
    <xdr:from>
      <xdr:col>9</xdr:col>
      <xdr:colOff>317500</xdr:colOff>
      <xdr:row>13</xdr:row>
      <xdr:rowOff>76200</xdr:rowOff>
    </xdr:from>
    <xdr:to>
      <xdr:col>11</xdr:col>
      <xdr:colOff>0</xdr:colOff>
      <xdr:row>14</xdr:row>
      <xdr:rowOff>152400</xdr:rowOff>
    </xdr:to>
    <xdr:sp macro="" textlink="Analysis!E9">
      <xdr:nvSpPr>
        <xdr:cNvPr id="28" name="TextBox 27">
          <a:extLst>
            <a:ext uri="{FF2B5EF4-FFF2-40B4-BE49-F238E27FC236}">
              <a16:creationId xmlns:a16="http://schemas.microsoft.com/office/drawing/2014/main" id="{70E97AE4-E209-4C36-A61D-E7A8E409CA52}"/>
            </a:ext>
          </a:extLst>
        </xdr:cNvPr>
        <xdr:cNvSpPr txBox="1"/>
      </xdr:nvSpPr>
      <xdr:spPr>
        <a:xfrm>
          <a:off x="5803900" y="2552700"/>
          <a:ext cx="901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268499-A376-4464-939E-574CFB256CE0}" type="TxLink">
            <a:rPr lang="en-US" sz="1200" b="0" i="0" u="none" strike="noStrike">
              <a:solidFill>
                <a:srgbClr val="432105"/>
              </a:solidFill>
              <a:latin typeface="Calibri"/>
              <a:cs typeface="Calibri"/>
            </a:rPr>
            <a:pPr/>
            <a:t>▲52%VsLY</a:t>
          </a:fld>
          <a:endParaRPr lang="en-US" sz="3200" b="0">
            <a:solidFill>
              <a:srgbClr val="432105"/>
            </a:solidFill>
          </a:endParaRPr>
        </a:p>
      </xdr:txBody>
    </xdr:sp>
    <xdr:clientData/>
  </xdr:twoCellAnchor>
  <xdr:twoCellAnchor>
    <xdr:from>
      <xdr:col>4</xdr:col>
      <xdr:colOff>584200</xdr:colOff>
      <xdr:row>1</xdr:row>
      <xdr:rowOff>177800</xdr:rowOff>
    </xdr:from>
    <xdr:to>
      <xdr:col>7</xdr:col>
      <xdr:colOff>458540</xdr:colOff>
      <xdr:row>4</xdr:row>
      <xdr:rowOff>160859</xdr:rowOff>
    </xdr:to>
    <xdr:sp macro="" textlink="">
      <xdr:nvSpPr>
        <xdr:cNvPr id="30" name="TextBox 29">
          <a:extLst>
            <a:ext uri="{FF2B5EF4-FFF2-40B4-BE49-F238E27FC236}">
              <a16:creationId xmlns:a16="http://schemas.microsoft.com/office/drawing/2014/main" id="{8E916E45-E565-483D-A3D2-10808DCE002F}"/>
            </a:ext>
          </a:extLst>
        </xdr:cNvPr>
        <xdr:cNvSpPr txBox="1"/>
      </xdr:nvSpPr>
      <xdr:spPr>
        <a:xfrm>
          <a:off x="3022600" y="368300"/>
          <a:ext cx="1703140" cy="554559"/>
        </a:xfrm>
        <a:prstGeom prst="rect">
          <a:avLst/>
        </a:prstGeom>
        <a:noFill/>
        <a:ln w="9525" cmpd="sng">
          <a:no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n>
                <a:solidFill>
                  <a:schemeClr val="accent2">
                    <a:lumMod val="75000"/>
                  </a:schemeClr>
                </a:solidFill>
              </a:ln>
              <a:solidFill>
                <a:srgbClr val="432105"/>
              </a:solidFill>
              <a:effectLst>
                <a:glow rad="63500">
                  <a:schemeClr val="accent2">
                    <a:satMod val="175000"/>
                    <a:alpha val="40000"/>
                  </a:schemeClr>
                </a:glow>
                <a:innerShdw blurRad="63500" dist="50800" dir="18900000">
                  <a:prstClr val="black">
                    <a:alpha val="50000"/>
                  </a:prstClr>
                </a:innerShdw>
              </a:effectLst>
              <a:latin typeface="Britannic Bold" panose="020B0903060703020204" pitchFamily="34" charset="0"/>
            </a:rPr>
            <a:t>Susan's</a:t>
          </a:r>
          <a:r>
            <a:rPr lang="en-US" sz="2000" baseline="0">
              <a:ln>
                <a:solidFill>
                  <a:schemeClr val="accent2">
                    <a:lumMod val="75000"/>
                  </a:schemeClr>
                </a:solidFill>
              </a:ln>
              <a:solidFill>
                <a:srgbClr val="432105"/>
              </a:solidFill>
              <a:effectLst>
                <a:glow rad="63500">
                  <a:schemeClr val="accent2">
                    <a:satMod val="175000"/>
                    <a:alpha val="40000"/>
                  </a:schemeClr>
                </a:glow>
                <a:innerShdw blurRad="63500" dist="50800" dir="18900000">
                  <a:prstClr val="black">
                    <a:alpha val="50000"/>
                  </a:prstClr>
                </a:innerShdw>
              </a:effectLst>
              <a:latin typeface="Britannic Bold" panose="020B0903060703020204" pitchFamily="34" charset="0"/>
            </a:rPr>
            <a:t> Bar</a:t>
          </a:r>
          <a:endParaRPr lang="en-US" sz="2800" b="1" baseline="0">
            <a:ln>
              <a:solidFill>
                <a:schemeClr val="accent2">
                  <a:lumMod val="75000"/>
                </a:schemeClr>
              </a:solidFill>
            </a:ln>
            <a:solidFill>
              <a:srgbClr val="432105"/>
            </a:solidFill>
            <a:effectLst>
              <a:glow rad="63500">
                <a:schemeClr val="accent2">
                  <a:satMod val="175000"/>
                  <a:alpha val="40000"/>
                </a:schemeClr>
              </a:glow>
              <a:innerShdw blurRad="63500" dist="50800" dir="18900000">
                <a:prstClr val="black">
                  <a:alpha val="50000"/>
                </a:prstClr>
              </a:innerShdw>
            </a:effectLst>
            <a:latin typeface="Britannic Bold" panose="020B0903060703020204" pitchFamily="34" charset="0"/>
          </a:endParaRPr>
        </a:p>
        <a:p>
          <a:pPr algn="l"/>
          <a:r>
            <a:rPr lang="en-US" sz="1200" b="1" baseline="0">
              <a:solidFill>
                <a:schemeClr val="accent2">
                  <a:lumMod val="75000"/>
                </a:schemeClr>
              </a:solidFill>
              <a:effectLst>
                <a:reflection blurRad="6350" stA="55000" endA="300" endPos="45500" dir="5400000" sy="-100000" algn="bl" rotWithShape="0"/>
              </a:effectLst>
              <a:latin typeface="Freestyle Script" panose="030804020302050B0404" pitchFamily="66" charset="0"/>
            </a:rPr>
            <a:t>BETTER AMONG EQUAL..........</a:t>
          </a:r>
          <a:endParaRPr lang="en-US" sz="500" b="1">
            <a:solidFill>
              <a:schemeClr val="accent2">
                <a:lumMod val="75000"/>
              </a:schemeClr>
            </a:solidFill>
            <a:effectLst>
              <a:reflection blurRad="6350" stA="55000" endA="300" endPos="45500" dir="5400000" sy="-100000" algn="bl" rotWithShape="0"/>
            </a:effectLst>
            <a:latin typeface="Freestyle Script" panose="030804020302050B0404" pitchFamily="66" charset="0"/>
          </a:endParaRPr>
        </a:p>
      </xdr:txBody>
    </xdr:sp>
    <xdr:clientData/>
  </xdr:twoCellAnchor>
  <xdr:twoCellAnchor>
    <xdr:from>
      <xdr:col>5</xdr:col>
      <xdr:colOff>57150</xdr:colOff>
      <xdr:row>24</xdr:row>
      <xdr:rowOff>177800</xdr:rowOff>
    </xdr:from>
    <xdr:to>
      <xdr:col>13</xdr:col>
      <xdr:colOff>279400</xdr:colOff>
      <xdr:row>34</xdr:row>
      <xdr:rowOff>165100</xdr:rowOff>
    </xdr:to>
    <xdr:graphicFrame macro="">
      <xdr:nvGraphicFramePr>
        <xdr:cNvPr id="36" name="Chart 35">
          <a:extLst>
            <a:ext uri="{FF2B5EF4-FFF2-40B4-BE49-F238E27FC236}">
              <a16:creationId xmlns:a16="http://schemas.microsoft.com/office/drawing/2014/main" id="{C605CB85-8A40-46F7-A5BC-2F4FA68CB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508000</xdr:colOff>
      <xdr:row>22</xdr:row>
      <xdr:rowOff>63500</xdr:rowOff>
    </xdr:from>
    <xdr:to>
      <xdr:col>24</xdr:col>
      <xdr:colOff>457200</xdr:colOff>
      <xdr:row>35</xdr:row>
      <xdr:rowOff>25400</xdr:rowOff>
    </xdr:to>
    <xdr:graphicFrame macro="">
      <xdr:nvGraphicFramePr>
        <xdr:cNvPr id="37" name="Chart 36">
          <a:extLst>
            <a:ext uri="{FF2B5EF4-FFF2-40B4-BE49-F238E27FC236}">
              <a16:creationId xmlns:a16="http://schemas.microsoft.com/office/drawing/2014/main" id="{F997D090-5421-4949-BA76-75FBF3CB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520700</xdr:colOff>
      <xdr:row>8</xdr:row>
      <xdr:rowOff>114300</xdr:rowOff>
    </xdr:from>
    <xdr:to>
      <xdr:col>24</xdr:col>
      <xdr:colOff>444500</xdr:colOff>
      <xdr:row>21</xdr:row>
      <xdr:rowOff>139700</xdr:rowOff>
    </xdr:to>
    <xdr:graphicFrame macro="">
      <xdr:nvGraphicFramePr>
        <xdr:cNvPr id="38" name="Chart 37">
          <a:extLst>
            <a:ext uri="{FF2B5EF4-FFF2-40B4-BE49-F238E27FC236}">
              <a16:creationId xmlns:a16="http://schemas.microsoft.com/office/drawing/2014/main" id="{8A72D494-F72B-4424-A1FB-007D072B6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31750</xdr:colOff>
      <xdr:row>9</xdr:row>
      <xdr:rowOff>175684</xdr:rowOff>
    </xdr:from>
    <xdr:to>
      <xdr:col>9</xdr:col>
      <xdr:colOff>304800</xdr:colOff>
      <xdr:row>15</xdr:row>
      <xdr:rowOff>152400</xdr:rowOff>
    </xdr:to>
    <xdr:graphicFrame macro="">
      <xdr:nvGraphicFramePr>
        <xdr:cNvPr id="39" name="Chart 38">
          <a:extLst>
            <a:ext uri="{FF2B5EF4-FFF2-40B4-BE49-F238E27FC236}">
              <a16:creationId xmlns:a16="http://schemas.microsoft.com/office/drawing/2014/main" id="{76EC8101-081F-4BC8-A8F9-BFFC6F914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114300</xdr:colOff>
      <xdr:row>8</xdr:row>
      <xdr:rowOff>101600</xdr:rowOff>
    </xdr:from>
    <xdr:to>
      <xdr:col>13</xdr:col>
      <xdr:colOff>317500</xdr:colOff>
      <xdr:row>15</xdr:row>
      <xdr:rowOff>12700</xdr:rowOff>
    </xdr:to>
    <xdr:graphicFrame macro="">
      <xdr:nvGraphicFramePr>
        <xdr:cNvPr id="40" name="Chart 39">
          <a:extLst>
            <a:ext uri="{FF2B5EF4-FFF2-40B4-BE49-F238E27FC236}">
              <a16:creationId xmlns:a16="http://schemas.microsoft.com/office/drawing/2014/main" id="{CCBCD002-7226-462F-8786-1BC773B9B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25400</xdr:colOff>
      <xdr:row>16</xdr:row>
      <xdr:rowOff>188384</xdr:rowOff>
    </xdr:from>
    <xdr:to>
      <xdr:col>9</xdr:col>
      <xdr:colOff>355600</xdr:colOff>
      <xdr:row>22</xdr:row>
      <xdr:rowOff>38100</xdr:rowOff>
    </xdr:to>
    <xdr:graphicFrame macro="">
      <xdr:nvGraphicFramePr>
        <xdr:cNvPr id="41" name="Chart 40">
          <a:extLst>
            <a:ext uri="{FF2B5EF4-FFF2-40B4-BE49-F238E27FC236}">
              <a16:creationId xmlns:a16="http://schemas.microsoft.com/office/drawing/2014/main" id="{8ED3E1EE-ED3E-474F-B6C2-66EE90F8E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380999</xdr:colOff>
      <xdr:row>16</xdr:row>
      <xdr:rowOff>80434</xdr:rowOff>
    </xdr:from>
    <xdr:to>
      <xdr:col>13</xdr:col>
      <xdr:colOff>342900</xdr:colOff>
      <xdr:row>23</xdr:row>
      <xdr:rowOff>114300</xdr:rowOff>
    </xdr:to>
    <xdr:graphicFrame macro="">
      <xdr:nvGraphicFramePr>
        <xdr:cNvPr id="42" name="Chart 41">
          <a:extLst>
            <a:ext uri="{FF2B5EF4-FFF2-40B4-BE49-F238E27FC236}">
              <a16:creationId xmlns:a16="http://schemas.microsoft.com/office/drawing/2014/main" id="{BEA2D07F-D808-4A3D-9DF7-089993A40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165100</xdr:colOff>
      <xdr:row>6</xdr:row>
      <xdr:rowOff>88900</xdr:rowOff>
    </xdr:from>
    <xdr:to>
      <xdr:col>13</xdr:col>
      <xdr:colOff>355600</xdr:colOff>
      <xdr:row>7</xdr:row>
      <xdr:rowOff>152400</xdr:rowOff>
    </xdr:to>
    <xdr:sp macro="" textlink="Analysis!H29">
      <xdr:nvSpPr>
        <xdr:cNvPr id="44" name="TextBox 43">
          <a:extLst>
            <a:ext uri="{FF2B5EF4-FFF2-40B4-BE49-F238E27FC236}">
              <a16:creationId xmlns:a16="http://schemas.microsoft.com/office/drawing/2014/main" id="{283E2907-979B-4950-8CD3-78A580E3D013}"/>
            </a:ext>
          </a:extLst>
        </xdr:cNvPr>
        <xdr:cNvSpPr txBox="1"/>
      </xdr:nvSpPr>
      <xdr:spPr>
        <a:xfrm>
          <a:off x="5651500" y="1231900"/>
          <a:ext cx="26289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295537-5F29-4C73-A751-57BF8D965855}" type="TxLink">
            <a:rPr lang="en-US" sz="1400" b="1" i="0" u="none" strike="noStrike">
              <a:solidFill>
                <a:schemeClr val="bg2">
                  <a:lumMod val="25000"/>
                </a:schemeClr>
              </a:solidFill>
              <a:latin typeface="Calibri"/>
              <a:cs typeface="Calibri"/>
            </a:rPr>
            <a:pPr/>
            <a:t>Thursday, January 15, 2026</a:t>
          </a:fld>
          <a:endParaRPr lang="en-US" sz="1400" b="1">
            <a:solidFill>
              <a:schemeClr val="bg2">
                <a:lumMod val="25000"/>
              </a:schemeClr>
            </a:solidFill>
          </a:endParaRPr>
        </a:p>
      </xdr:txBody>
    </xdr:sp>
    <xdr:clientData/>
  </xdr:twoCellAnchor>
  <xdr:twoCellAnchor editAs="oneCell">
    <xdr:from>
      <xdr:col>18</xdr:col>
      <xdr:colOff>488950</xdr:colOff>
      <xdr:row>4</xdr:row>
      <xdr:rowOff>139700</xdr:rowOff>
    </xdr:from>
    <xdr:to>
      <xdr:col>23</xdr:col>
      <xdr:colOff>279400</xdr:colOff>
      <xdr:row>7</xdr:row>
      <xdr:rowOff>76200</xdr:rowOff>
    </xdr:to>
    <mc:AlternateContent xmlns:mc="http://schemas.openxmlformats.org/markup-compatibility/2006" xmlns:a14="http://schemas.microsoft.com/office/drawing/2010/main">
      <mc:Choice Requires="a14">
        <xdr:graphicFrame macro="">
          <xdr:nvGraphicFramePr>
            <xdr:cNvPr id="45" name="Category">
              <a:extLst>
                <a:ext uri="{FF2B5EF4-FFF2-40B4-BE49-F238E27FC236}">
                  <a16:creationId xmlns:a16="http://schemas.microsoft.com/office/drawing/2014/main" id="{30083C49-4D8B-4AFA-BCF7-82EF317AFF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61750" y="901700"/>
              <a:ext cx="2838450" cy="50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317503</xdr:colOff>
      <xdr:row>9</xdr:row>
      <xdr:rowOff>157666</xdr:rowOff>
    </xdr:from>
    <xdr:to>
      <xdr:col>3</xdr:col>
      <xdr:colOff>520703</xdr:colOff>
      <xdr:row>30</xdr:row>
      <xdr:rowOff>114301</xdr:rowOff>
    </xdr:to>
    <xdr:sp macro="" textlink="">
      <xdr:nvSpPr>
        <xdr:cNvPr id="48" name="Rectangle: Top Corners Rounded 47">
          <a:extLst>
            <a:ext uri="{FF2B5EF4-FFF2-40B4-BE49-F238E27FC236}">
              <a16:creationId xmlns:a16="http://schemas.microsoft.com/office/drawing/2014/main" id="{462BA3FF-D23B-E149-4B64-80A534B4C460}"/>
            </a:ext>
          </a:extLst>
        </xdr:cNvPr>
        <xdr:cNvSpPr/>
      </xdr:nvSpPr>
      <xdr:spPr>
        <a:xfrm rot="16200000">
          <a:off x="-340265" y="3139534"/>
          <a:ext cx="3957135" cy="1422400"/>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431800</xdr:colOff>
      <xdr:row>18</xdr:row>
      <xdr:rowOff>127000</xdr:rowOff>
    </xdr:from>
    <xdr:to>
      <xdr:col>3</xdr:col>
      <xdr:colOff>457200</xdr:colOff>
      <xdr:row>21</xdr:row>
      <xdr:rowOff>25400</xdr:rowOff>
    </xdr:to>
    <xdr:sp macro="" textlink="">
      <xdr:nvSpPr>
        <xdr:cNvPr id="47" name="Rectangle: Rounded Corners 46">
          <a:extLst>
            <a:ext uri="{FF2B5EF4-FFF2-40B4-BE49-F238E27FC236}">
              <a16:creationId xmlns:a16="http://schemas.microsoft.com/office/drawing/2014/main" id="{E4F1FCCC-DC33-49DF-A675-892D0BCB0239}"/>
            </a:ext>
          </a:extLst>
        </xdr:cNvPr>
        <xdr:cNvSpPr/>
      </xdr:nvSpPr>
      <xdr:spPr>
        <a:xfrm>
          <a:off x="1041400" y="3556000"/>
          <a:ext cx="1244600" cy="469900"/>
        </a:xfrm>
        <a:prstGeom prst="roundRect">
          <a:avLst>
            <a:gd name="adj" fmla="val 23333"/>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546100</xdr:colOff>
      <xdr:row>19</xdr:row>
      <xdr:rowOff>38100</xdr:rowOff>
    </xdr:from>
    <xdr:to>
      <xdr:col>3</xdr:col>
      <xdr:colOff>393700</xdr:colOff>
      <xdr:row>21</xdr:row>
      <xdr:rowOff>50800</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5AD6A5C4-BCC6-40BD-BE54-45AC8735B176}"/>
            </a:ext>
          </a:extLst>
        </xdr:cNvPr>
        <xdr:cNvSpPr txBox="1"/>
      </xdr:nvSpPr>
      <xdr:spPr>
        <a:xfrm>
          <a:off x="1155700" y="3657600"/>
          <a:ext cx="10668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62A06"/>
              </a:solidFill>
              <a:latin typeface="Arial Black" panose="020B0A04020102020204" pitchFamily="34" charset="0"/>
            </a:rPr>
            <a:t>ANALYSIS</a:t>
          </a:r>
          <a:endParaRPr lang="en-US" sz="1100" b="1">
            <a:solidFill>
              <a:srgbClr val="562A06"/>
            </a:solidFill>
            <a:latin typeface="Arial Black" panose="020B0A04020102020204" pitchFamily="34" charset="0"/>
          </a:endParaRPr>
        </a:p>
      </xdr:txBody>
    </xdr:sp>
    <xdr:clientData/>
  </xdr:twoCellAnchor>
  <xdr:twoCellAnchor>
    <xdr:from>
      <xdr:col>1</xdr:col>
      <xdr:colOff>431800</xdr:colOff>
      <xdr:row>14</xdr:row>
      <xdr:rowOff>114300</xdr:rowOff>
    </xdr:from>
    <xdr:to>
      <xdr:col>3</xdr:col>
      <xdr:colOff>457200</xdr:colOff>
      <xdr:row>17</xdr:row>
      <xdr:rowOff>12700</xdr:rowOff>
    </xdr:to>
    <xdr:sp macro="" textlink="">
      <xdr:nvSpPr>
        <xdr:cNvPr id="52" name="Rectangle: Rounded Corners 51">
          <a:extLst>
            <a:ext uri="{FF2B5EF4-FFF2-40B4-BE49-F238E27FC236}">
              <a16:creationId xmlns:a16="http://schemas.microsoft.com/office/drawing/2014/main" id="{C1DD9AFE-3FCD-4840-8CCF-CA07DFD37604}"/>
            </a:ext>
          </a:extLst>
        </xdr:cNvPr>
        <xdr:cNvSpPr/>
      </xdr:nvSpPr>
      <xdr:spPr>
        <a:xfrm>
          <a:off x="1041400" y="2781300"/>
          <a:ext cx="1244600" cy="469900"/>
        </a:xfrm>
        <a:prstGeom prst="roundRect">
          <a:avLst>
            <a:gd name="adj" fmla="val 23333"/>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562A06"/>
            </a:solidFill>
          </a:endParaRPr>
        </a:p>
      </xdr:txBody>
    </xdr:sp>
    <xdr:clientData/>
  </xdr:twoCellAnchor>
  <xdr:twoCellAnchor>
    <xdr:from>
      <xdr:col>2</xdr:col>
      <xdr:colOff>50800</xdr:colOff>
      <xdr:row>15</xdr:row>
      <xdr:rowOff>25400</xdr:rowOff>
    </xdr:from>
    <xdr:to>
      <xdr:col>3</xdr:col>
      <xdr:colOff>508000</xdr:colOff>
      <xdr:row>17</xdr:row>
      <xdr:rowOff>38100</xdr:rowOff>
    </xdr:to>
    <xdr:sp macro="" textlink="">
      <xdr:nvSpPr>
        <xdr:cNvPr id="53" name="TextBox 52">
          <a:hlinkClick xmlns:r="http://schemas.openxmlformats.org/officeDocument/2006/relationships" r:id="rId11"/>
          <a:extLst>
            <a:ext uri="{FF2B5EF4-FFF2-40B4-BE49-F238E27FC236}">
              <a16:creationId xmlns:a16="http://schemas.microsoft.com/office/drawing/2014/main" id="{BC82FA0B-60E2-40AC-B856-93C33826CBDE}"/>
            </a:ext>
          </a:extLst>
        </xdr:cNvPr>
        <xdr:cNvSpPr txBox="1"/>
      </xdr:nvSpPr>
      <xdr:spPr>
        <a:xfrm>
          <a:off x="1270000" y="2882900"/>
          <a:ext cx="10668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562A06"/>
              </a:solidFill>
              <a:latin typeface="Arial Black" panose="020B0A04020102020204" pitchFamily="34" charset="0"/>
            </a:rPr>
            <a:t>DATA</a:t>
          </a:r>
          <a:endParaRPr lang="en-US" sz="1100" b="1">
            <a:solidFill>
              <a:srgbClr val="562A06"/>
            </a:solidFill>
            <a:latin typeface="Arial Black" panose="020B0A040201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cuments/Portfolio/Freedom_Analytics_%20Sales%20Perform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ALCULATIONS"/>
      <sheetName val="DASHBOARD"/>
    </sheetNames>
    <sheetDataSet>
      <sheetData sheetId="0"/>
      <sheetData sheetId="1">
        <row r="2">
          <cell r="C2">
            <v>46037</v>
          </cell>
        </row>
        <row r="10">
          <cell r="C10">
            <v>232144.80999999994</v>
          </cell>
          <cell r="F10" t="str">
            <v>▲52% VS LY</v>
          </cell>
        </row>
        <row r="11">
          <cell r="C11">
            <v>422</v>
          </cell>
          <cell r="F11" t="str">
            <v>▲39% VS LY</v>
          </cell>
        </row>
        <row r="12">
          <cell r="C12">
            <v>31238.020000000008</v>
          </cell>
          <cell r="F12" t="str">
            <v>▲20% VS LY</v>
          </cell>
        </row>
        <row r="13">
          <cell r="C13">
            <v>200906.78999999992</v>
          </cell>
          <cell r="F13" t="str">
            <v>▲59% VS LY</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6.61447291667" createdVersion="8" refreshedVersion="8" minRefreshableVersion="3" recordCount="300" xr:uid="{00000000-000A-0000-FFFF-FFFF4A000000}">
  <cacheSource type="worksheet">
    <worksheetSource name="Table1_2"/>
  </cacheSource>
  <cacheFields count="11">
    <cacheField name="Order ID" numFmtId="0">
      <sharedItems/>
    </cacheField>
    <cacheField name="Date" numFmtId="14">
      <sharedItems containsSemiMixedTypes="0" containsNonDate="0" containsDate="1" containsString="0" minDate="2024-01-01T00:00:00" maxDate="2026-01-01T00:00:00" count="236">
        <d v="2025-10-16T00:00:00"/>
        <d v="2024-04-24T00:00:00"/>
        <d v="2024-01-26T00:00:00"/>
        <d v="2024-10-08T00:00:00"/>
        <d v="2024-09-07T00:00:00"/>
        <d v="2024-08-16T00:00:00"/>
        <d v="2024-05-22T00:00:00"/>
        <d v="2024-04-14T00:00:00"/>
        <d v="2025-11-23T00:00:00"/>
        <d v="2025-07-12T00:00:00"/>
        <d v="2024-03-30T00:00:00"/>
        <d v="2025-08-27T00:00:00"/>
        <d v="2025-03-08T00:00:00"/>
        <d v="2024-02-02T00:00:00"/>
        <d v="2024-01-31T00:00:00"/>
        <d v="2024-04-05T00:00:00"/>
        <d v="2024-08-11T00:00:00"/>
        <d v="2024-08-26T00:00:00"/>
        <d v="2025-06-01T00:00:00"/>
        <d v="2025-09-08T00:00:00"/>
        <d v="2024-01-28T00:00:00"/>
        <d v="2025-07-28T00:00:00"/>
        <d v="2024-07-22T00:00:00"/>
        <d v="2025-10-27T00:00:00"/>
        <d v="2025-12-19T00:00:00"/>
        <d v="2025-03-05T00:00:00"/>
        <d v="2024-08-13T00:00:00"/>
        <d v="2025-04-04T00:00:00"/>
        <d v="2025-08-26T00:00:00"/>
        <d v="2024-10-11T00:00:00"/>
        <d v="2024-01-07T00:00:00"/>
        <d v="2024-06-12T00:00:00"/>
        <d v="2025-12-15T00:00:00"/>
        <d v="2024-12-14T00:00:00"/>
        <d v="2024-06-08T00:00:00"/>
        <d v="2024-08-08T00:00:00"/>
        <d v="2024-12-10T00:00:00"/>
        <d v="2024-04-04T00:00:00"/>
        <d v="2025-01-24T00:00:00"/>
        <d v="2024-04-09T00:00:00"/>
        <d v="2025-01-02T00:00:00"/>
        <d v="2024-12-18T00:00:00"/>
        <d v="2025-09-10T00:00:00"/>
        <d v="2024-09-27T00:00:00"/>
        <d v="2024-02-14T00:00:00"/>
        <d v="2025-04-15T00:00:00"/>
        <d v="2025-07-03T00:00:00"/>
        <d v="2024-05-07T00:00:00"/>
        <d v="2025-01-22T00:00:00"/>
        <d v="2024-03-21T00:00:00"/>
        <d v="2025-07-19T00:00:00"/>
        <d v="2024-10-27T00:00:00"/>
        <d v="2025-10-05T00:00:00"/>
        <d v="2025-09-25T00:00:00"/>
        <d v="2025-01-05T00:00:00"/>
        <d v="2025-08-14T00:00:00"/>
        <d v="2024-07-15T00:00:00"/>
        <d v="2025-12-22T00:00:00"/>
        <d v="2024-03-12T00:00:00"/>
        <d v="2024-02-16T00:00:00"/>
        <d v="2025-11-08T00:00:00"/>
        <d v="2024-08-21T00:00:00"/>
        <d v="2024-10-23T00:00:00"/>
        <d v="2024-03-22T00:00:00"/>
        <d v="2024-04-13T00:00:00"/>
        <d v="2025-04-09T00:00:00"/>
        <d v="2025-10-12T00:00:00"/>
        <d v="2025-01-08T00:00:00"/>
        <d v="2024-06-15T00:00:00"/>
        <d v="2025-01-14T00:00:00"/>
        <d v="2024-12-29T00:00:00"/>
        <d v="2024-08-02T00:00:00"/>
        <d v="2025-11-17T00:00:00"/>
        <d v="2024-09-30T00:00:00"/>
        <d v="2025-11-30T00:00:00"/>
        <d v="2025-10-25T00:00:00"/>
        <d v="2024-03-14T00:00:00"/>
        <d v="2025-09-15T00:00:00"/>
        <d v="2024-06-24T00:00:00"/>
        <d v="2025-06-30T00:00:00"/>
        <d v="2024-06-16T00:00:00"/>
        <d v="2025-04-18T00:00:00"/>
        <d v="2025-01-23T00:00:00"/>
        <d v="2024-10-03T00:00:00"/>
        <d v="2025-10-17T00:00:00"/>
        <d v="2025-12-05T00:00:00"/>
        <d v="2025-07-24T00:00:00"/>
        <d v="2024-08-12T00:00:00"/>
        <d v="2025-12-02T00:00:00"/>
        <d v="2024-11-28T00:00:00"/>
        <d v="2024-02-27T00:00:00"/>
        <d v="2024-08-22T00:00:00"/>
        <d v="2024-11-19T00:00:00"/>
        <d v="2025-02-14T00:00:00"/>
        <d v="2024-10-01T00:00:00"/>
        <d v="2024-03-08T00:00:00"/>
        <d v="2024-08-04T00:00:00"/>
        <d v="2025-08-03T00:00:00"/>
        <d v="2024-11-18T00:00:00"/>
        <d v="2024-08-05T00:00:00"/>
        <d v="2025-11-02T00:00:00"/>
        <d v="2025-05-26T00:00:00"/>
        <d v="2025-02-09T00:00:00"/>
        <d v="2025-10-20T00:00:00"/>
        <d v="2025-04-14T00:00:00"/>
        <d v="2024-05-26T00:00:00"/>
        <d v="2024-09-28T00:00:00"/>
        <d v="2024-09-09T00:00:00"/>
        <d v="2025-07-05T00:00:00"/>
        <d v="2024-09-26T00:00:00"/>
        <d v="2025-08-21T00:00:00"/>
        <d v="2025-03-14T00:00:00"/>
        <d v="2025-08-20T00:00:00"/>
        <d v="2025-02-12T00:00:00"/>
        <d v="2024-05-21T00:00:00"/>
        <d v="2025-06-05T00:00:00"/>
        <d v="2025-05-20T00:00:00"/>
        <d v="2024-04-03T00:00:00"/>
        <d v="2024-02-18T00:00:00"/>
        <d v="2024-04-22T00:00:00"/>
        <d v="2024-06-05T00:00:00"/>
        <d v="2025-10-04T00:00:00"/>
        <d v="2025-11-27T00:00:00"/>
        <d v="2025-09-02T00:00:00"/>
        <d v="2024-03-06T00:00:00"/>
        <d v="2025-01-29T00:00:00"/>
        <d v="2025-01-25T00:00:00"/>
        <d v="2025-04-24T00:00:00"/>
        <d v="2025-06-25T00:00:00"/>
        <d v="2024-09-14T00:00:00"/>
        <d v="2025-07-20T00:00:00"/>
        <d v="2024-01-12T00:00:00"/>
        <d v="2024-04-27T00:00:00"/>
        <d v="2025-11-29T00:00:00"/>
        <d v="2025-10-18T00:00:00"/>
        <d v="2025-03-21T00:00:00"/>
        <d v="2024-06-10T00:00:00"/>
        <d v="2024-01-04T00:00:00"/>
        <d v="2025-05-27T00:00:00"/>
        <d v="2024-07-01T00:00:00"/>
        <d v="2025-06-03T00:00:00"/>
        <d v="2024-04-18T00:00:00"/>
        <d v="2025-10-02T00:00:00"/>
        <d v="2024-11-01T00:00:00"/>
        <d v="2025-01-17T00:00:00"/>
        <d v="2024-06-14T00:00:00"/>
        <d v="2025-07-06T00:00:00"/>
        <d v="2025-06-27T00:00:00"/>
        <d v="2024-01-01T00:00:00"/>
        <d v="2025-09-05T00:00:00"/>
        <d v="2024-11-27T00:00:00"/>
        <d v="2025-05-15T00:00:00"/>
        <d v="2024-01-20T00:00:00"/>
        <d v="2025-01-06T00:00:00"/>
        <d v="2024-11-10T00:00:00"/>
        <d v="2024-09-02T00:00:00"/>
        <d v="2024-02-29T00:00:00"/>
        <d v="2024-09-03T00:00:00"/>
        <d v="2024-03-28T00:00:00"/>
        <d v="2025-05-12T00:00:00"/>
        <d v="2024-03-11T00:00:00"/>
        <d v="2025-06-29T00:00:00"/>
        <d v="2024-05-08T00:00:00"/>
        <d v="2024-05-11T00:00:00"/>
        <d v="2025-11-06T00:00:00"/>
        <d v="2025-05-01T00:00:00"/>
        <d v="2025-07-16T00:00:00"/>
        <d v="2024-06-18T00:00:00"/>
        <d v="2025-06-24T00:00:00"/>
        <d v="2025-09-13T00:00:00"/>
        <d v="2025-03-09T00:00:00"/>
        <d v="2025-12-07T00:00:00"/>
        <d v="2024-07-24T00:00:00"/>
        <d v="2025-12-31T00:00:00"/>
        <d v="2024-11-15T00:00:00"/>
        <d v="2025-11-18T00:00:00"/>
        <d v="2025-03-24T00:00:00"/>
        <d v="2025-06-13T00:00:00"/>
        <d v="2025-04-07T00:00:00"/>
        <d v="2024-05-03T00:00:00"/>
        <d v="2024-09-10T00:00:00"/>
        <d v="2024-08-18T00:00:00"/>
        <d v="2024-12-12T00:00:00"/>
        <d v="2024-01-22T00:00:00"/>
        <d v="2025-08-25T00:00:00"/>
        <d v="2025-07-21T00:00:00"/>
        <d v="2024-08-23T00:00:00"/>
        <d v="2024-01-08T00:00:00"/>
        <d v="2024-03-13T00:00:00"/>
        <d v="2025-12-25T00:00:00"/>
        <d v="2025-10-08T00:00:00"/>
        <d v="2024-03-01T00:00:00"/>
        <d v="2024-03-10T00:00:00"/>
        <d v="2024-12-04T00:00:00"/>
        <d v="2025-06-10T00:00:00"/>
        <d v="2024-08-31T00:00:00"/>
        <d v="2024-10-12T00:00:00"/>
        <d v="2025-11-16T00:00:00"/>
        <d v="2024-08-07T00:00:00"/>
        <d v="2024-05-15T00:00:00"/>
        <d v="2025-08-07T00:00:00"/>
        <d v="2025-08-13T00:00:00"/>
        <d v="2025-04-29T00:00:00"/>
        <d v="2024-09-05T00:00:00"/>
        <d v="2025-02-20T00:00:00"/>
        <d v="2024-07-13T00:00:00"/>
        <d v="2024-04-06T00:00:00"/>
        <d v="2025-11-05T00:00:00"/>
        <d v="2025-03-17T00:00:00"/>
        <d v="2024-12-28T00:00:00"/>
        <d v="2025-02-24T00:00:00"/>
        <d v="2025-04-23T00:00:00"/>
        <d v="2024-02-25T00:00:00"/>
        <d v="2025-11-20T00:00:00"/>
        <d v="2025-10-31T00:00:00"/>
        <d v="2025-10-23T00:00:00"/>
        <d v="2024-04-10T00:00:00"/>
        <d v="2024-03-03T00:00:00"/>
        <d v="2025-02-16T00:00:00"/>
        <d v="2024-12-13T00:00:00"/>
        <d v="2024-04-21T00:00:00"/>
        <d v="2024-09-11T00:00:00"/>
        <d v="2024-05-23T00:00:00"/>
        <d v="2024-07-06T00:00:00"/>
        <d v="2024-09-12T00:00:00"/>
        <d v="2024-03-18T00:00:00"/>
        <d v="2025-03-29T00:00:00"/>
        <d v="2025-07-17T00:00:00"/>
        <d v="2024-02-21T00:00:00"/>
        <d v="2025-10-29T00:00:00"/>
        <d v="2025-07-07T00:00:00"/>
        <d v="2024-01-16T00:00:00"/>
        <d v="2024-08-30T00:00:00"/>
        <d v="2024-06-19T00:00:00"/>
        <d v="2025-05-07T00:00:00"/>
        <d v="2024-08-06T00:00:00"/>
      </sharedItems>
      <fieldGroup base="1">
        <rangePr groupBy="quarters" startDate="2024-01-01T00:00:00" endDate="2026-01-01T00:00:00"/>
        <groupItems count="6">
          <s v="&lt;1/1/2024"/>
          <s v="Qtr1"/>
          <s v="Qtr2"/>
          <s v="Qtr3"/>
          <s v="Qtr4"/>
          <s v="&gt;1/1/2026"/>
        </groupItems>
      </fieldGroup>
    </cacheField>
    <cacheField name="Month" numFmtId="0">
      <sharedItems count="12">
        <s v="Oct"/>
        <s v="Apr"/>
        <s v="Jan"/>
        <s v="Sep"/>
        <s v="Aug"/>
        <s v="May"/>
        <s v="Nov"/>
        <s v="Jul"/>
        <s v="Mar"/>
        <s v="Feb"/>
        <s v="Jun"/>
        <s v="Dec"/>
      </sharedItems>
    </cacheField>
    <cacheField name="Year" numFmtId="0">
      <sharedItems containsSemiMixedTypes="0" containsString="0" containsNumber="1" containsInteger="1" minValue="2024" maxValue="2025" count="2">
        <n v="2025"/>
        <n v="2024"/>
      </sharedItems>
    </cacheField>
    <cacheField name="Category" numFmtId="0">
      <sharedItems count="3">
        <s v="Drink"/>
        <s v="Food"/>
        <s v="Snacks"/>
      </sharedItems>
    </cacheField>
    <cacheField name="Product" numFmtId="0">
      <sharedItems count="8">
        <s v="Palm Wine"/>
        <s v="Grilled Fish"/>
        <s v="Small Chops"/>
        <s v="Pepper Soup"/>
        <s v="Red Wine"/>
        <s v="Whiskey Shot"/>
        <s v="Bottle Beer"/>
        <s v="Suya"/>
      </sharedItems>
    </cacheField>
    <cacheField name="Branch" numFmtId="0">
      <sharedItems count="4">
        <s v="Ikeja"/>
        <s v="Yaba"/>
        <s v="Victoria Island"/>
        <s v="Lekki"/>
      </sharedItems>
    </cacheField>
    <cacheField name="Quantity" numFmtId="0">
      <sharedItems containsSemiMixedTypes="0" containsString="0" containsNumber="1" containsInteger="1" minValue="1" maxValue="15"/>
    </cacheField>
    <cacheField name="Cost" numFmtId="0">
      <sharedItems containsSemiMixedTypes="0" containsString="0" containsNumber="1" containsInteger="1" minValue="500" maxValue="2500"/>
    </cacheField>
    <cacheField name="Sales" numFmtId="0">
      <sharedItems containsSemiMixedTypes="0" containsString="0" containsNumber="1" containsInteger="1" minValue="500" maxValue="20000"/>
    </cacheField>
    <cacheField name="Profit" numFmtId="0">
      <sharedItems containsSemiMixedTypes="0" containsString="0" containsNumber="1" containsInteger="1" minValue="0" maxValue="17500"/>
    </cacheField>
  </cacheFields>
  <extLst>
    <ext xmlns:x14="http://schemas.microsoft.com/office/spreadsheetml/2009/9/main" uri="{725AE2AE-9491-48be-B2B4-4EB974FC3084}">
      <x14:pivotCacheDefinition pivotCacheId="1645418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BAR0001"/>
    <x v="0"/>
    <x v="0"/>
    <x v="0"/>
    <x v="0"/>
    <x v="0"/>
    <x v="0"/>
    <n v="8"/>
    <n v="500"/>
    <n v="4000"/>
    <n v="3500"/>
  </r>
  <r>
    <s v="SBAR0002"/>
    <x v="1"/>
    <x v="1"/>
    <x v="1"/>
    <x v="1"/>
    <x v="1"/>
    <x v="1"/>
    <n v="2"/>
    <n v="2000"/>
    <n v="4000"/>
    <n v="2000"/>
  </r>
  <r>
    <s v="SBAR0003"/>
    <x v="2"/>
    <x v="2"/>
    <x v="1"/>
    <x v="2"/>
    <x v="2"/>
    <x v="2"/>
    <n v="2"/>
    <n v="1200"/>
    <n v="2400"/>
    <n v="1200"/>
  </r>
  <r>
    <s v="SBAR0004"/>
    <x v="3"/>
    <x v="0"/>
    <x v="1"/>
    <x v="1"/>
    <x v="3"/>
    <x v="0"/>
    <n v="3"/>
    <n v="1500"/>
    <n v="4500"/>
    <n v="3000"/>
  </r>
  <r>
    <s v="SBAR0005"/>
    <x v="4"/>
    <x v="3"/>
    <x v="1"/>
    <x v="2"/>
    <x v="2"/>
    <x v="1"/>
    <n v="1"/>
    <n v="1200"/>
    <n v="1200"/>
    <n v="0"/>
  </r>
  <r>
    <s v="SBAR0006"/>
    <x v="5"/>
    <x v="4"/>
    <x v="1"/>
    <x v="0"/>
    <x v="0"/>
    <x v="2"/>
    <n v="1"/>
    <n v="500"/>
    <n v="500"/>
    <n v="0"/>
  </r>
  <r>
    <s v="SBAR0007"/>
    <x v="6"/>
    <x v="5"/>
    <x v="1"/>
    <x v="2"/>
    <x v="2"/>
    <x v="2"/>
    <n v="1"/>
    <n v="1200"/>
    <n v="1200"/>
    <n v="0"/>
  </r>
  <r>
    <s v="SBAR0008"/>
    <x v="7"/>
    <x v="1"/>
    <x v="1"/>
    <x v="2"/>
    <x v="2"/>
    <x v="2"/>
    <n v="4"/>
    <n v="1200"/>
    <n v="4800"/>
    <n v="3600"/>
  </r>
  <r>
    <s v="SBAR0009"/>
    <x v="8"/>
    <x v="6"/>
    <x v="0"/>
    <x v="0"/>
    <x v="4"/>
    <x v="0"/>
    <n v="2"/>
    <n v="2500"/>
    <n v="5000"/>
    <n v="2500"/>
  </r>
  <r>
    <s v="SBAR0010"/>
    <x v="9"/>
    <x v="7"/>
    <x v="0"/>
    <x v="0"/>
    <x v="5"/>
    <x v="1"/>
    <n v="3"/>
    <n v="1200"/>
    <n v="3600"/>
    <n v="2400"/>
  </r>
  <r>
    <s v="SBAR0011"/>
    <x v="10"/>
    <x v="8"/>
    <x v="1"/>
    <x v="0"/>
    <x v="0"/>
    <x v="1"/>
    <n v="4"/>
    <n v="500"/>
    <n v="2000"/>
    <n v="1500"/>
  </r>
  <r>
    <s v="SBAR0012"/>
    <x v="11"/>
    <x v="4"/>
    <x v="0"/>
    <x v="1"/>
    <x v="1"/>
    <x v="2"/>
    <n v="2"/>
    <n v="2000"/>
    <n v="4000"/>
    <n v="2000"/>
  </r>
  <r>
    <s v="SBAR0013"/>
    <x v="12"/>
    <x v="8"/>
    <x v="0"/>
    <x v="2"/>
    <x v="2"/>
    <x v="3"/>
    <n v="2"/>
    <n v="1200"/>
    <n v="2400"/>
    <n v="1200"/>
  </r>
  <r>
    <s v="SBAR0014"/>
    <x v="13"/>
    <x v="9"/>
    <x v="1"/>
    <x v="0"/>
    <x v="6"/>
    <x v="3"/>
    <n v="2"/>
    <n v="700"/>
    <n v="1400"/>
    <n v="700"/>
  </r>
  <r>
    <s v="SBAR0015"/>
    <x v="14"/>
    <x v="2"/>
    <x v="1"/>
    <x v="2"/>
    <x v="2"/>
    <x v="0"/>
    <n v="5"/>
    <n v="1200"/>
    <n v="6000"/>
    <n v="4800"/>
  </r>
  <r>
    <s v="SBAR0016"/>
    <x v="15"/>
    <x v="1"/>
    <x v="1"/>
    <x v="0"/>
    <x v="5"/>
    <x v="2"/>
    <n v="3"/>
    <n v="1200"/>
    <n v="3600"/>
    <n v="2400"/>
  </r>
  <r>
    <s v="SBAR0017"/>
    <x v="16"/>
    <x v="4"/>
    <x v="1"/>
    <x v="0"/>
    <x v="6"/>
    <x v="1"/>
    <n v="3"/>
    <n v="700"/>
    <n v="2100"/>
    <n v="1400"/>
  </r>
  <r>
    <s v="SBAR0018"/>
    <x v="17"/>
    <x v="4"/>
    <x v="1"/>
    <x v="0"/>
    <x v="5"/>
    <x v="1"/>
    <n v="5"/>
    <n v="1200"/>
    <n v="6000"/>
    <n v="4800"/>
  </r>
  <r>
    <s v="SBAR0019"/>
    <x v="18"/>
    <x v="10"/>
    <x v="0"/>
    <x v="2"/>
    <x v="2"/>
    <x v="1"/>
    <n v="2"/>
    <n v="1200"/>
    <n v="2400"/>
    <n v="1200"/>
  </r>
  <r>
    <s v="SBAR0020"/>
    <x v="19"/>
    <x v="3"/>
    <x v="0"/>
    <x v="0"/>
    <x v="5"/>
    <x v="0"/>
    <n v="3"/>
    <n v="1200"/>
    <n v="3600"/>
    <n v="2400"/>
  </r>
  <r>
    <s v="SBAR0021"/>
    <x v="20"/>
    <x v="2"/>
    <x v="1"/>
    <x v="2"/>
    <x v="2"/>
    <x v="1"/>
    <n v="3"/>
    <n v="1200"/>
    <n v="3600"/>
    <n v="2400"/>
  </r>
  <r>
    <s v="SBAR0022"/>
    <x v="21"/>
    <x v="7"/>
    <x v="0"/>
    <x v="2"/>
    <x v="2"/>
    <x v="1"/>
    <n v="4"/>
    <n v="1200"/>
    <n v="4800"/>
    <n v="3600"/>
  </r>
  <r>
    <s v="SBAR0023"/>
    <x v="22"/>
    <x v="7"/>
    <x v="1"/>
    <x v="2"/>
    <x v="2"/>
    <x v="3"/>
    <n v="3"/>
    <n v="1200"/>
    <n v="3600"/>
    <n v="2400"/>
  </r>
  <r>
    <s v="SBAR0024"/>
    <x v="23"/>
    <x v="0"/>
    <x v="0"/>
    <x v="0"/>
    <x v="6"/>
    <x v="3"/>
    <n v="2"/>
    <n v="700"/>
    <n v="1400"/>
    <n v="700"/>
  </r>
  <r>
    <s v="SBAR0025"/>
    <x v="24"/>
    <x v="11"/>
    <x v="0"/>
    <x v="0"/>
    <x v="4"/>
    <x v="1"/>
    <n v="2"/>
    <n v="2500"/>
    <n v="5000"/>
    <n v="2500"/>
  </r>
  <r>
    <s v="SBAR0026"/>
    <x v="9"/>
    <x v="7"/>
    <x v="0"/>
    <x v="2"/>
    <x v="2"/>
    <x v="2"/>
    <n v="3"/>
    <n v="1200"/>
    <n v="3600"/>
    <n v="2400"/>
  </r>
  <r>
    <s v="SBAR0027"/>
    <x v="25"/>
    <x v="8"/>
    <x v="0"/>
    <x v="2"/>
    <x v="2"/>
    <x v="0"/>
    <n v="2"/>
    <n v="1200"/>
    <n v="2400"/>
    <n v="1200"/>
  </r>
  <r>
    <s v="SBAR0028"/>
    <x v="26"/>
    <x v="4"/>
    <x v="1"/>
    <x v="0"/>
    <x v="4"/>
    <x v="0"/>
    <n v="2"/>
    <n v="2500"/>
    <n v="5000"/>
    <n v="2500"/>
  </r>
  <r>
    <s v="SBAR0029"/>
    <x v="27"/>
    <x v="1"/>
    <x v="0"/>
    <x v="2"/>
    <x v="2"/>
    <x v="3"/>
    <n v="2"/>
    <n v="1200"/>
    <n v="2400"/>
    <n v="1200"/>
  </r>
  <r>
    <s v="SBAR0030"/>
    <x v="28"/>
    <x v="4"/>
    <x v="0"/>
    <x v="0"/>
    <x v="5"/>
    <x v="1"/>
    <n v="1"/>
    <n v="1200"/>
    <n v="1200"/>
    <n v="0"/>
  </r>
  <r>
    <s v="SBAR0031"/>
    <x v="29"/>
    <x v="0"/>
    <x v="1"/>
    <x v="1"/>
    <x v="3"/>
    <x v="2"/>
    <n v="2"/>
    <n v="1500"/>
    <n v="3000"/>
    <n v="1500"/>
  </r>
  <r>
    <s v="SBAR0032"/>
    <x v="30"/>
    <x v="2"/>
    <x v="1"/>
    <x v="0"/>
    <x v="5"/>
    <x v="3"/>
    <n v="4"/>
    <n v="1200"/>
    <n v="4800"/>
    <n v="3600"/>
  </r>
  <r>
    <s v="SBAR0033"/>
    <x v="31"/>
    <x v="10"/>
    <x v="1"/>
    <x v="2"/>
    <x v="2"/>
    <x v="2"/>
    <n v="2"/>
    <n v="1200"/>
    <n v="2400"/>
    <n v="1200"/>
  </r>
  <r>
    <s v="SBAR0034"/>
    <x v="32"/>
    <x v="11"/>
    <x v="0"/>
    <x v="0"/>
    <x v="0"/>
    <x v="0"/>
    <n v="2"/>
    <n v="500"/>
    <n v="1000"/>
    <n v="500"/>
  </r>
  <r>
    <s v="SBAR0035"/>
    <x v="12"/>
    <x v="8"/>
    <x v="0"/>
    <x v="2"/>
    <x v="2"/>
    <x v="3"/>
    <n v="2"/>
    <n v="1200"/>
    <n v="2400"/>
    <n v="1200"/>
  </r>
  <r>
    <s v="SBAR0036"/>
    <x v="33"/>
    <x v="11"/>
    <x v="1"/>
    <x v="1"/>
    <x v="3"/>
    <x v="0"/>
    <n v="3"/>
    <n v="1500"/>
    <n v="4500"/>
    <n v="3000"/>
  </r>
  <r>
    <s v="SBAR0037"/>
    <x v="29"/>
    <x v="0"/>
    <x v="1"/>
    <x v="0"/>
    <x v="0"/>
    <x v="2"/>
    <n v="2"/>
    <n v="500"/>
    <n v="1000"/>
    <n v="500"/>
  </r>
  <r>
    <s v="SBAR0038"/>
    <x v="34"/>
    <x v="10"/>
    <x v="1"/>
    <x v="1"/>
    <x v="1"/>
    <x v="1"/>
    <n v="1"/>
    <n v="2000"/>
    <n v="2000"/>
    <n v="0"/>
  </r>
  <r>
    <s v="SBAR0039"/>
    <x v="35"/>
    <x v="4"/>
    <x v="1"/>
    <x v="0"/>
    <x v="6"/>
    <x v="2"/>
    <n v="2"/>
    <n v="700"/>
    <n v="1400"/>
    <n v="700"/>
  </r>
  <r>
    <s v="SBAR0040"/>
    <x v="36"/>
    <x v="11"/>
    <x v="1"/>
    <x v="1"/>
    <x v="1"/>
    <x v="0"/>
    <n v="2"/>
    <n v="2000"/>
    <n v="4000"/>
    <n v="2000"/>
  </r>
  <r>
    <s v="SBAR0041"/>
    <x v="7"/>
    <x v="1"/>
    <x v="1"/>
    <x v="1"/>
    <x v="7"/>
    <x v="1"/>
    <n v="1"/>
    <n v="1000"/>
    <n v="1000"/>
    <n v="0"/>
  </r>
  <r>
    <s v="SBAR0042"/>
    <x v="37"/>
    <x v="1"/>
    <x v="1"/>
    <x v="0"/>
    <x v="5"/>
    <x v="2"/>
    <n v="2"/>
    <n v="1200"/>
    <n v="2400"/>
    <n v="1200"/>
  </r>
  <r>
    <s v="SBAR0043"/>
    <x v="38"/>
    <x v="2"/>
    <x v="0"/>
    <x v="1"/>
    <x v="3"/>
    <x v="0"/>
    <n v="2"/>
    <n v="1500"/>
    <n v="3000"/>
    <n v="1500"/>
  </r>
  <r>
    <s v="SBAR0044"/>
    <x v="39"/>
    <x v="1"/>
    <x v="1"/>
    <x v="1"/>
    <x v="7"/>
    <x v="1"/>
    <n v="2"/>
    <n v="1000"/>
    <n v="2000"/>
    <n v="1000"/>
  </r>
  <r>
    <s v="SBAR0045"/>
    <x v="40"/>
    <x v="2"/>
    <x v="0"/>
    <x v="2"/>
    <x v="2"/>
    <x v="3"/>
    <n v="3"/>
    <n v="1200"/>
    <n v="3600"/>
    <n v="2400"/>
  </r>
  <r>
    <s v="SBAR0046"/>
    <x v="41"/>
    <x v="11"/>
    <x v="1"/>
    <x v="0"/>
    <x v="5"/>
    <x v="0"/>
    <n v="2"/>
    <n v="1200"/>
    <n v="2400"/>
    <n v="1200"/>
  </r>
  <r>
    <s v="SBAR0047"/>
    <x v="42"/>
    <x v="3"/>
    <x v="0"/>
    <x v="1"/>
    <x v="3"/>
    <x v="2"/>
    <n v="2"/>
    <n v="1500"/>
    <n v="3000"/>
    <n v="6000"/>
  </r>
  <r>
    <s v="SBAR0048"/>
    <x v="43"/>
    <x v="3"/>
    <x v="1"/>
    <x v="1"/>
    <x v="1"/>
    <x v="1"/>
    <n v="2"/>
    <n v="2000"/>
    <n v="4000"/>
    <n v="2000"/>
  </r>
  <r>
    <s v="SBAR0049"/>
    <x v="44"/>
    <x v="9"/>
    <x v="1"/>
    <x v="1"/>
    <x v="3"/>
    <x v="1"/>
    <n v="3"/>
    <n v="1500"/>
    <n v="4500"/>
    <n v="3000"/>
  </r>
  <r>
    <s v="SBAR0050"/>
    <x v="45"/>
    <x v="1"/>
    <x v="0"/>
    <x v="1"/>
    <x v="7"/>
    <x v="1"/>
    <n v="5"/>
    <n v="1000"/>
    <n v="5000"/>
    <n v="4000"/>
  </r>
  <r>
    <s v="SBAR0051"/>
    <x v="46"/>
    <x v="7"/>
    <x v="0"/>
    <x v="2"/>
    <x v="2"/>
    <x v="2"/>
    <n v="2"/>
    <n v="1200"/>
    <n v="2400"/>
    <n v="1200"/>
  </r>
  <r>
    <s v="SBAR0052"/>
    <x v="47"/>
    <x v="5"/>
    <x v="1"/>
    <x v="1"/>
    <x v="7"/>
    <x v="3"/>
    <n v="2"/>
    <n v="1000"/>
    <n v="2000"/>
    <n v="1000"/>
  </r>
  <r>
    <s v="SBAR0053"/>
    <x v="48"/>
    <x v="2"/>
    <x v="0"/>
    <x v="2"/>
    <x v="2"/>
    <x v="1"/>
    <n v="2"/>
    <n v="1200"/>
    <n v="2400"/>
    <n v="1200"/>
  </r>
  <r>
    <s v="SBAR0054"/>
    <x v="49"/>
    <x v="8"/>
    <x v="1"/>
    <x v="2"/>
    <x v="2"/>
    <x v="1"/>
    <n v="3"/>
    <n v="1200"/>
    <n v="3600"/>
    <n v="2400"/>
  </r>
  <r>
    <s v="SBAR0055"/>
    <x v="50"/>
    <x v="7"/>
    <x v="0"/>
    <x v="0"/>
    <x v="0"/>
    <x v="1"/>
    <n v="3"/>
    <n v="500"/>
    <n v="1500"/>
    <n v="1000"/>
  </r>
  <r>
    <s v="SBAR0056"/>
    <x v="51"/>
    <x v="0"/>
    <x v="1"/>
    <x v="1"/>
    <x v="1"/>
    <x v="2"/>
    <n v="3"/>
    <n v="2000"/>
    <n v="6000"/>
    <n v="4000"/>
  </r>
  <r>
    <s v="SBAR0057"/>
    <x v="52"/>
    <x v="0"/>
    <x v="0"/>
    <x v="1"/>
    <x v="3"/>
    <x v="0"/>
    <n v="2"/>
    <n v="1500"/>
    <n v="3000"/>
    <n v="1500"/>
  </r>
  <r>
    <s v="SBAR0058"/>
    <x v="53"/>
    <x v="3"/>
    <x v="0"/>
    <x v="2"/>
    <x v="2"/>
    <x v="0"/>
    <n v="4"/>
    <n v="1200"/>
    <n v="4800"/>
    <n v="3600"/>
  </r>
  <r>
    <s v="SBAR0059"/>
    <x v="54"/>
    <x v="2"/>
    <x v="0"/>
    <x v="2"/>
    <x v="2"/>
    <x v="2"/>
    <n v="4"/>
    <n v="1200"/>
    <n v="4800"/>
    <n v="3600"/>
  </r>
  <r>
    <s v="SBAR0060"/>
    <x v="55"/>
    <x v="4"/>
    <x v="0"/>
    <x v="0"/>
    <x v="6"/>
    <x v="0"/>
    <n v="2"/>
    <n v="700"/>
    <n v="1400"/>
    <n v="700"/>
  </r>
  <r>
    <s v="SBAR0061"/>
    <x v="56"/>
    <x v="7"/>
    <x v="1"/>
    <x v="1"/>
    <x v="7"/>
    <x v="0"/>
    <n v="1"/>
    <n v="1000"/>
    <n v="1000"/>
    <n v="0"/>
  </r>
  <r>
    <s v="SBAR0062"/>
    <x v="57"/>
    <x v="11"/>
    <x v="0"/>
    <x v="1"/>
    <x v="3"/>
    <x v="3"/>
    <n v="2"/>
    <n v="1500"/>
    <n v="3000"/>
    <n v="1500"/>
  </r>
  <r>
    <s v="SBAR0063"/>
    <x v="58"/>
    <x v="8"/>
    <x v="1"/>
    <x v="1"/>
    <x v="1"/>
    <x v="2"/>
    <n v="4"/>
    <n v="2000"/>
    <n v="8000"/>
    <n v="6000"/>
  </r>
  <r>
    <s v="SBAR0064"/>
    <x v="59"/>
    <x v="9"/>
    <x v="1"/>
    <x v="2"/>
    <x v="2"/>
    <x v="0"/>
    <n v="3"/>
    <n v="1200"/>
    <n v="3600"/>
    <n v="2400"/>
  </r>
  <r>
    <s v="SBAR0065"/>
    <x v="60"/>
    <x v="6"/>
    <x v="0"/>
    <x v="0"/>
    <x v="4"/>
    <x v="3"/>
    <n v="2"/>
    <n v="2500"/>
    <n v="5000"/>
    <n v="2500"/>
  </r>
  <r>
    <s v="SBAR0066"/>
    <x v="61"/>
    <x v="4"/>
    <x v="1"/>
    <x v="2"/>
    <x v="2"/>
    <x v="0"/>
    <n v="2"/>
    <n v="1200"/>
    <n v="2400"/>
    <n v="1200"/>
  </r>
  <r>
    <s v="SBAR0067"/>
    <x v="62"/>
    <x v="0"/>
    <x v="1"/>
    <x v="0"/>
    <x v="0"/>
    <x v="1"/>
    <n v="3"/>
    <n v="500"/>
    <n v="1500"/>
    <n v="1000"/>
  </r>
  <r>
    <s v="SBAR0068"/>
    <x v="63"/>
    <x v="8"/>
    <x v="1"/>
    <x v="2"/>
    <x v="2"/>
    <x v="3"/>
    <n v="2"/>
    <n v="1200"/>
    <n v="2400"/>
    <n v="1200"/>
  </r>
  <r>
    <s v="SBAR0069"/>
    <x v="17"/>
    <x v="4"/>
    <x v="1"/>
    <x v="2"/>
    <x v="2"/>
    <x v="3"/>
    <n v="3"/>
    <n v="1200"/>
    <n v="3600"/>
    <n v="2400"/>
  </r>
  <r>
    <s v="SBAR0070"/>
    <x v="64"/>
    <x v="1"/>
    <x v="1"/>
    <x v="0"/>
    <x v="5"/>
    <x v="3"/>
    <n v="6"/>
    <n v="1200"/>
    <n v="7200"/>
    <n v="6000"/>
  </r>
  <r>
    <s v="SBAR0071"/>
    <x v="38"/>
    <x v="2"/>
    <x v="0"/>
    <x v="0"/>
    <x v="4"/>
    <x v="3"/>
    <n v="2"/>
    <n v="2500"/>
    <n v="5000"/>
    <n v="2500"/>
  </r>
  <r>
    <s v="SBAR0072"/>
    <x v="29"/>
    <x v="0"/>
    <x v="1"/>
    <x v="2"/>
    <x v="2"/>
    <x v="2"/>
    <n v="2"/>
    <n v="1200"/>
    <n v="2400"/>
    <n v="1200"/>
  </r>
  <r>
    <s v="SBAR0073"/>
    <x v="65"/>
    <x v="1"/>
    <x v="0"/>
    <x v="1"/>
    <x v="1"/>
    <x v="0"/>
    <n v="2"/>
    <n v="2000"/>
    <n v="4000"/>
    <n v="2000"/>
  </r>
  <r>
    <s v="SBAR0074"/>
    <x v="66"/>
    <x v="0"/>
    <x v="0"/>
    <x v="0"/>
    <x v="4"/>
    <x v="3"/>
    <n v="2"/>
    <n v="2500"/>
    <n v="5000"/>
    <n v="2500"/>
  </r>
  <r>
    <s v="SBAR0075"/>
    <x v="67"/>
    <x v="2"/>
    <x v="0"/>
    <x v="0"/>
    <x v="0"/>
    <x v="2"/>
    <n v="3"/>
    <n v="500"/>
    <n v="1500"/>
    <n v="1000"/>
  </r>
  <r>
    <s v="SBAR0076"/>
    <x v="68"/>
    <x v="10"/>
    <x v="1"/>
    <x v="1"/>
    <x v="1"/>
    <x v="1"/>
    <n v="2"/>
    <n v="2000"/>
    <n v="4000"/>
    <n v="2000"/>
  </r>
  <r>
    <s v="SBAR0077"/>
    <x v="69"/>
    <x v="2"/>
    <x v="0"/>
    <x v="1"/>
    <x v="7"/>
    <x v="0"/>
    <n v="2"/>
    <n v="1000"/>
    <n v="2000"/>
    <n v="1000"/>
  </r>
  <r>
    <s v="SBAR0078"/>
    <x v="70"/>
    <x v="11"/>
    <x v="1"/>
    <x v="1"/>
    <x v="1"/>
    <x v="0"/>
    <n v="2"/>
    <n v="2000"/>
    <n v="4000"/>
    <n v="2000"/>
  </r>
  <r>
    <s v="SBAR0079"/>
    <x v="71"/>
    <x v="4"/>
    <x v="1"/>
    <x v="1"/>
    <x v="7"/>
    <x v="0"/>
    <n v="2"/>
    <n v="1000"/>
    <n v="2000"/>
    <n v="1000"/>
  </r>
  <r>
    <s v="SBAR0080"/>
    <x v="72"/>
    <x v="6"/>
    <x v="0"/>
    <x v="1"/>
    <x v="1"/>
    <x v="3"/>
    <n v="2"/>
    <n v="2000"/>
    <n v="4000"/>
    <n v="2000"/>
  </r>
  <r>
    <s v="SBAR0081"/>
    <x v="73"/>
    <x v="3"/>
    <x v="1"/>
    <x v="2"/>
    <x v="2"/>
    <x v="3"/>
    <n v="1"/>
    <n v="1200"/>
    <n v="1200"/>
    <n v="0"/>
  </r>
  <r>
    <s v="SBAR0082"/>
    <x v="24"/>
    <x v="11"/>
    <x v="0"/>
    <x v="1"/>
    <x v="1"/>
    <x v="3"/>
    <n v="1"/>
    <n v="2000"/>
    <n v="2000"/>
    <n v="0"/>
  </r>
  <r>
    <s v="SBAR0083"/>
    <x v="74"/>
    <x v="6"/>
    <x v="0"/>
    <x v="1"/>
    <x v="7"/>
    <x v="3"/>
    <n v="2"/>
    <n v="1000"/>
    <n v="2000"/>
    <n v="1000"/>
  </r>
  <r>
    <s v="SBAR0084"/>
    <x v="75"/>
    <x v="0"/>
    <x v="0"/>
    <x v="0"/>
    <x v="0"/>
    <x v="2"/>
    <n v="4"/>
    <n v="500"/>
    <n v="2000"/>
    <n v="1500"/>
  </r>
  <r>
    <s v="SBAR0085"/>
    <x v="76"/>
    <x v="8"/>
    <x v="1"/>
    <x v="2"/>
    <x v="2"/>
    <x v="3"/>
    <n v="5"/>
    <n v="1200"/>
    <n v="6000"/>
    <n v="4800"/>
  </r>
  <r>
    <s v="SBAR0086"/>
    <x v="77"/>
    <x v="3"/>
    <x v="0"/>
    <x v="2"/>
    <x v="2"/>
    <x v="0"/>
    <n v="2"/>
    <n v="1200"/>
    <n v="2400"/>
    <n v="1200"/>
  </r>
  <r>
    <s v="SBAR0087"/>
    <x v="66"/>
    <x v="0"/>
    <x v="0"/>
    <x v="0"/>
    <x v="0"/>
    <x v="2"/>
    <n v="3"/>
    <n v="500"/>
    <n v="1500"/>
    <n v="1000"/>
  </r>
  <r>
    <s v="SBAR0088"/>
    <x v="78"/>
    <x v="10"/>
    <x v="1"/>
    <x v="1"/>
    <x v="1"/>
    <x v="1"/>
    <n v="3"/>
    <n v="2000"/>
    <n v="6000"/>
    <n v="4000"/>
  </r>
  <r>
    <s v="SBAR0089"/>
    <x v="79"/>
    <x v="10"/>
    <x v="0"/>
    <x v="1"/>
    <x v="7"/>
    <x v="1"/>
    <n v="2"/>
    <n v="1000"/>
    <n v="2000"/>
    <n v="1000"/>
  </r>
  <r>
    <s v="SBAR0090"/>
    <x v="4"/>
    <x v="3"/>
    <x v="1"/>
    <x v="1"/>
    <x v="1"/>
    <x v="1"/>
    <n v="2"/>
    <n v="2000"/>
    <n v="4000"/>
    <n v="2000"/>
  </r>
  <r>
    <s v="SBAR0091"/>
    <x v="80"/>
    <x v="10"/>
    <x v="1"/>
    <x v="1"/>
    <x v="3"/>
    <x v="0"/>
    <n v="1"/>
    <n v="1500"/>
    <n v="1500"/>
    <n v="0"/>
  </r>
  <r>
    <s v="SBAR0092"/>
    <x v="81"/>
    <x v="1"/>
    <x v="0"/>
    <x v="0"/>
    <x v="6"/>
    <x v="0"/>
    <n v="2"/>
    <n v="700"/>
    <n v="1400"/>
    <n v="700"/>
  </r>
  <r>
    <s v="SBAR0093"/>
    <x v="82"/>
    <x v="2"/>
    <x v="0"/>
    <x v="0"/>
    <x v="4"/>
    <x v="0"/>
    <n v="2"/>
    <n v="2500"/>
    <n v="5000"/>
    <n v="2500"/>
  </r>
  <r>
    <s v="SBAR0094"/>
    <x v="83"/>
    <x v="0"/>
    <x v="1"/>
    <x v="0"/>
    <x v="6"/>
    <x v="2"/>
    <n v="2"/>
    <n v="700"/>
    <n v="1400"/>
    <n v="700"/>
  </r>
  <r>
    <s v="SBAR0095"/>
    <x v="84"/>
    <x v="0"/>
    <x v="0"/>
    <x v="2"/>
    <x v="2"/>
    <x v="2"/>
    <n v="2"/>
    <n v="1200"/>
    <n v="2400"/>
    <n v="1200"/>
  </r>
  <r>
    <s v="SBAR0096"/>
    <x v="85"/>
    <x v="11"/>
    <x v="0"/>
    <x v="2"/>
    <x v="2"/>
    <x v="1"/>
    <n v="2"/>
    <n v="1200"/>
    <n v="2400"/>
    <n v="1200"/>
  </r>
  <r>
    <s v="SBAR0097"/>
    <x v="86"/>
    <x v="7"/>
    <x v="0"/>
    <x v="2"/>
    <x v="2"/>
    <x v="2"/>
    <n v="2"/>
    <n v="1200"/>
    <n v="2400"/>
    <n v="1200"/>
  </r>
  <r>
    <s v="SBAR0098"/>
    <x v="87"/>
    <x v="4"/>
    <x v="1"/>
    <x v="0"/>
    <x v="6"/>
    <x v="1"/>
    <n v="2"/>
    <n v="700"/>
    <n v="1400"/>
    <n v="700"/>
  </r>
  <r>
    <s v="SBAR0099"/>
    <x v="88"/>
    <x v="11"/>
    <x v="0"/>
    <x v="2"/>
    <x v="2"/>
    <x v="3"/>
    <n v="2"/>
    <n v="1200"/>
    <n v="2400"/>
    <n v="1200"/>
  </r>
  <r>
    <s v="SBAR0100"/>
    <x v="89"/>
    <x v="6"/>
    <x v="1"/>
    <x v="0"/>
    <x v="4"/>
    <x v="0"/>
    <n v="4"/>
    <n v="2500"/>
    <n v="10000"/>
    <n v="7500"/>
  </r>
  <r>
    <s v="SBAR0101"/>
    <x v="90"/>
    <x v="9"/>
    <x v="1"/>
    <x v="1"/>
    <x v="7"/>
    <x v="0"/>
    <n v="2"/>
    <n v="1000"/>
    <n v="2000"/>
    <n v="1000"/>
  </r>
  <r>
    <s v="SBAR0102"/>
    <x v="91"/>
    <x v="4"/>
    <x v="1"/>
    <x v="0"/>
    <x v="5"/>
    <x v="3"/>
    <n v="5"/>
    <n v="1200"/>
    <n v="6000"/>
    <n v="4800"/>
  </r>
  <r>
    <s v="SBAR0103"/>
    <x v="13"/>
    <x v="9"/>
    <x v="1"/>
    <x v="1"/>
    <x v="3"/>
    <x v="1"/>
    <n v="1"/>
    <n v="1500"/>
    <n v="1500"/>
    <n v="0"/>
  </r>
  <r>
    <s v="SBAR0104"/>
    <x v="92"/>
    <x v="6"/>
    <x v="1"/>
    <x v="1"/>
    <x v="7"/>
    <x v="0"/>
    <n v="2"/>
    <n v="1000"/>
    <n v="2000"/>
    <n v="1000"/>
  </r>
  <r>
    <s v="SBAR0105"/>
    <x v="93"/>
    <x v="9"/>
    <x v="0"/>
    <x v="1"/>
    <x v="1"/>
    <x v="2"/>
    <n v="2"/>
    <n v="2000"/>
    <n v="4000"/>
    <n v="2000"/>
  </r>
  <r>
    <s v="SBAR0106"/>
    <x v="94"/>
    <x v="0"/>
    <x v="1"/>
    <x v="0"/>
    <x v="5"/>
    <x v="3"/>
    <n v="3"/>
    <n v="1200"/>
    <n v="3600"/>
    <n v="2400"/>
  </r>
  <r>
    <s v="SBAR0107"/>
    <x v="95"/>
    <x v="8"/>
    <x v="1"/>
    <x v="1"/>
    <x v="7"/>
    <x v="1"/>
    <n v="3"/>
    <n v="1000"/>
    <n v="3000"/>
    <n v="2000"/>
  </r>
  <r>
    <s v="SBAR0108"/>
    <x v="96"/>
    <x v="4"/>
    <x v="1"/>
    <x v="0"/>
    <x v="6"/>
    <x v="1"/>
    <n v="4"/>
    <n v="700"/>
    <n v="2800"/>
    <n v="2100"/>
  </r>
  <r>
    <s v="SBAR0109"/>
    <x v="97"/>
    <x v="4"/>
    <x v="0"/>
    <x v="0"/>
    <x v="5"/>
    <x v="3"/>
    <n v="5"/>
    <n v="1200"/>
    <n v="6000"/>
    <n v="4800"/>
  </r>
  <r>
    <s v="SBAR0110"/>
    <x v="98"/>
    <x v="6"/>
    <x v="1"/>
    <x v="0"/>
    <x v="4"/>
    <x v="1"/>
    <n v="2"/>
    <n v="2500"/>
    <n v="5000"/>
    <n v="2500"/>
  </r>
  <r>
    <s v="SBAR0111"/>
    <x v="99"/>
    <x v="4"/>
    <x v="1"/>
    <x v="1"/>
    <x v="3"/>
    <x v="1"/>
    <n v="3"/>
    <n v="1500"/>
    <n v="4500"/>
    <n v="3000"/>
  </r>
  <r>
    <s v="SBAR0112"/>
    <x v="100"/>
    <x v="6"/>
    <x v="0"/>
    <x v="1"/>
    <x v="7"/>
    <x v="1"/>
    <n v="5"/>
    <n v="1000"/>
    <n v="5000"/>
    <n v="4000"/>
  </r>
  <r>
    <s v="SBAR0113"/>
    <x v="101"/>
    <x v="5"/>
    <x v="0"/>
    <x v="0"/>
    <x v="4"/>
    <x v="0"/>
    <n v="3"/>
    <n v="2500"/>
    <n v="7500"/>
    <n v="5000"/>
  </r>
  <r>
    <s v="SBAR0114"/>
    <x v="102"/>
    <x v="9"/>
    <x v="0"/>
    <x v="2"/>
    <x v="2"/>
    <x v="3"/>
    <n v="3"/>
    <n v="1200"/>
    <n v="3600"/>
    <n v="2400"/>
  </r>
  <r>
    <s v="SBAR0115"/>
    <x v="103"/>
    <x v="0"/>
    <x v="0"/>
    <x v="0"/>
    <x v="0"/>
    <x v="3"/>
    <n v="7"/>
    <n v="500"/>
    <n v="3500"/>
    <n v="3000"/>
  </r>
  <r>
    <s v="SBAR0116"/>
    <x v="104"/>
    <x v="1"/>
    <x v="0"/>
    <x v="0"/>
    <x v="6"/>
    <x v="1"/>
    <n v="5"/>
    <n v="700"/>
    <n v="3500"/>
    <n v="2800"/>
  </r>
  <r>
    <s v="SBAR0117"/>
    <x v="105"/>
    <x v="5"/>
    <x v="1"/>
    <x v="1"/>
    <x v="7"/>
    <x v="2"/>
    <n v="15"/>
    <n v="1000"/>
    <n v="15000"/>
    <n v="14000"/>
  </r>
  <r>
    <s v="SBAR0118"/>
    <x v="106"/>
    <x v="3"/>
    <x v="1"/>
    <x v="2"/>
    <x v="2"/>
    <x v="3"/>
    <n v="1"/>
    <n v="1200"/>
    <n v="1200"/>
    <n v="0"/>
  </r>
  <r>
    <s v="SBAR0119"/>
    <x v="6"/>
    <x v="5"/>
    <x v="1"/>
    <x v="2"/>
    <x v="2"/>
    <x v="3"/>
    <n v="2"/>
    <n v="1200"/>
    <n v="2400"/>
    <n v="1200"/>
  </r>
  <r>
    <s v="SBAR0120"/>
    <x v="107"/>
    <x v="3"/>
    <x v="1"/>
    <x v="1"/>
    <x v="1"/>
    <x v="3"/>
    <n v="3"/>
    <n v="2000"/>
    <n v="3000"/>
    <n v="1000"/>
  </r>
  <r>
    <s v="SBAR0121"/>
    <x v="21"/>
    <x v="7"/>
    <x v="0"/>
    <x v="1"/>
    <x v="7"/>
    <x v="2"/>
    <n v="5"/>
    <n v="1000"/>
    <n v="5000"/>
    <n v="4000"/>
  </r>
  <r>
    <s v="SBAR0122"/>
    <x v="108"/>
    <x v="7"/>
    <x v="0"/>
    <x v="2"/>
    <x v="2"/>
    <x v="1"/>
    <n v="4"/>
    <n v="1200"/>
    <n v="4800"/>
    <n v="3600"/>
  </r>
  <r>
    <s v="SBAR0123"/>
    <x v="109"/>
    <x v="3"/>
    <x v="1"/>
    <x v="2"/>
    <x v="2"/>
    <x v="2"/>
    <n v="2"/>
    <n v="1200"/>
    <n v="2400"/>
    <n v="1200"/>
  </r>
  <r>
    <s v="SBAR0124"/>
    <x v="110"/>
    <x v="4"/>
    <x v="0"/>
    <x v="2"/>
    <x v="2"/>
    <x v="1"/>
    <n v="5"/>
    <n v="1200"/>
    <n v="6000"/>
    <n v="4800"/>
  </r>
  <r>
    <s v="SBAR0125"/>
    <x v="111"/>
    <x v="8"/>
    <x v="0"/>
    <x v="2"/>
    <x v="2"/>
    <x v="0"/>
    <n v="5"/>
    <n v="1200"/>
    <n v="6000"/>
    <n v="4800"/>
  </r>
  <r>
    <s v="SBAR0126"/>
    <x v="112"/>
    <x v="4"/>
    <x v="0"/>
    <x v="1"/>
    <x v="3"/>
    <x v="1"/>
    <n v="2"/>
    <n v="1500"/>
    <n v="3000"/>
    <n v="1500"/>
  </r>
  <r>
    <s v="SBAR0127"/>
    <x v="113"/>
    <x v="9"/>
    <x v="0"/>
    <x v="1"/>
    <x v="1"/>
    <x v="2"/>
    <n v="4"/>
    <n v="2000"/>
    <n v="8000"/>
    <n v="6000"/>
  </r>
  <r>
    <s v="SBAR0128"/>
    <x v="54"/>
    <x v="2"/>
    <x v="0"/>
    <x v="0"/>
    <x v="6"/>
    <x v="1"/>
    <n v="3"/>
    <n v="700"/>
    <n v="2100"/>
    <n v="1400"/>
  </r>
  <r>
    <s v="SBAR0129"/>
    <x v="87"/>
    <x v="4"/>
    <x v="1"/>
    <x v="0"/>
    <x v="0"/>
    <x v="3"/>
    <n v="3"/>
    <n v="500"/>
    <n v="1500"/>
    <n v="1000"/>
  </r>
  <r>
    <s v="SBAR0130"/>
    <x v="114"/>
    <x v="5"/>
    <x v="1"/>
    <x v="0"/>
    <x v="5"/>
    <x v="1"/>
    <n v="2"/>
    <n v="1200"/>
    <n v="2400"/>
    <n v="1200"/>
  </r>
  <r>
    <s v="SBAR0131"/>
    <x v="115"/>
    <x v="10"/>
    <x v="0"/>
    <x v="1"/>
    <x v="1"/>
    <x v="1"/>
    <n v="5"/>
    <n v="2000"/>
    <n v="5000"/>
    <n v="3000"/>
  </r>
  <r>
    <s v="SBAR0132"/>
    <x v="116"/>
    <x v="5"/>
    <x v="0"/>
    <x v="0"/>
    <x v="5"/>
    <x v="3"/>
    <n v="5"/>
    <n v="1200"/>
    <n v="6000"/>
    <n v="4800"/>
  </r>
  <r>
    <s v="SBAR0133"/>
    <x v="117"/>
    <x v="1"/>
    <x v="1"/>
    <x v="0"/>
    <x v="4"/>
    <x v="3"/>
    <n v="1"/>
    <n v="2500"/>
    <n v="2500"/>
    <n v="0"/>
  </r>
  <r>
    <s v="SBAR0134"/>
    <x v="118"/>
    <x v="9"/>
    <x v="1"/>
    <x v="2"/>
    <x v="2"/>
    <x v="2"/>
    <n v="2"/>
    <n v="1200"/>
    <n v="2400"/>
    <n v="1200"/>
  </r>
  <r>
    <s v="SBAR0135"/>
    <x v="119"/>
    <x v="1"/>
    <x v="1"/>
    <x v="2"/>
    <x v="2"/>
    <x v="0"/>
    <n v="2"/>
    <n v="1200"/>
    <n v="2400"/>
    <n v="1200"/>
  </r>
  <r>
    <s v="SBAR0136"/>
    <x v="120"/>
    <x v="10"/>
    <x v="1"/>
    <x v="0"/>
    <x v="0"/>
    <x v="2"/>
    <n v="2"/>
    <n v="500"/>
    <n v="1000"/>
    <n v="500"/>
  </r>
  <r>
    <s v="SBAR0137"/>
    <x v="121"/>
    <x v="0"/>
    <x v="0"/>
    <x v="1"/>
    <x v="1"/>
    <x v="3"/>
    <n v="5"/>
    <n v="2000"/>
    <n v="10000"/>
    <n v="8000"/>
  </r>
  <r>
    <s v="SBAR0138"/>
    <x v="31"/>
    <x v="10"/>
    <x v="1"/>
    <x v="2"/>
    <x v="2"/>
    <x v="1"/>
    <n v="2"/>
    <n v="1200"/>
    <n v="2400"/>
    <n v="1200"/>
  </r>
  <r>
    <s v="SBAR0139"/>
    <x v="122"/>
    <x v="6"/>
    <x v="0"/>
    <x v="2"/>
    <x v="2"/>
    <x v="0"/>
    <n v="2"/>
    <n v="1200"/>
    <n v="2400"/>
    <n v="1200"/>
  </r>
  <r>
    <s v="SBAR0140"/>
    <x v="12"/>
    <x v="8"/>
    <x v="0"/>
    <x v="2"/>
    <x v="2"/>
    <x v="1"/>
    <n v="1"/>
    <n v="1200"/>
    <n v="1200"/>
    <n v="0"/>
  </r>
  <r>
    <s v="SBAR0141"/>
    <x v="123"/>
    <x v="3"/>
    <x v="0"/>
    <x v="0"/>
    <x v="4"/>
    <x v="2"/>
    <n v="5"/>
    <n v="2500"/>
    <n v="12500"/>
    <n v="10000"/>
  </r>
  <r>
    <s v="SBAR0142"/>
    <x v="124"/>
    <x v="8"/>
    <x v="1"/>
    <x v="0"/>
    <x v="6"/>
    <x v="0"/>
    <n v="2"/>
    <n v="700"/>
    <n v="1400"/>
    <n v="700"/>
  </r>
  <r>
    <s v="SBAR0143"/>
    <x v="125"/>
    <x v="2"/>
    <x v="0"/>
    <x v="1"/>
    <x v="7"/>
    <x v="3"/>
    <n v="5"/>
    <n v="1000"/>
    <n v="5000"/>
    <n v="4000"/>
  </r>
  <r>
    <s v="SBAR0144"/>
    <x v="126"/>
    <x v="2"/>
    <x v="0"/>
    <x v="0"/>
    <x v="4"/>
    <x v="1"/>
    <n v="6"/>
    <n v="2500"/>
    <n v="15000"/>
    <n v="12500"/>
  </r>
  <r>
    <s v="SBAR0145"/>
    <x v="123"/>
    <x v="3"/>
    <x v="0"/>
    <x v="1"/>
    <x v="7"/>
    <x v="3"/>
    <n v="5"/>
    <n v="1000"/>
    <n v="5000"/>
    <n v="4000"/>
  </r>
  <r>
    <s v="SBAR0146"/>
    <x v="127"/>
    <x v="1"/>
    <x v="0"/>
    <x v="2"/>
    <x v="2"/>
    <x v="1"/>
    <n v="5"/>
    <n v="1200"/>
    <n v="6000"/>
    <n v="4800"/>
  </r>
  <r>
    <s v="SBAR0147"/>
    <x v="128"/>
    <x v="10"/>
    <x v="0"/>
    <x v="2"/>
    <x v="2"/>
    <x v="3"/>
    <n v="1"/>
    <n v="1200"/>
    <n v="1200"/>
    <n v="0"/>
  </r>
  <r>
    <s v="SBAR0148"/>
    <x v="129"/>
    <x v="3"/>
    <x v="1"/>
    <x v="2"/>
    <x v="2"/>
    <x v="2"/>
    <n v="3"/>
    <n v="1200"/>
    <n v="3600"/>
    <n v="2400"/>
  </r>
  <r>
    <s v="SBAR0149"/>
    <x v="130"/>
    <x v="7"/>
    <x v="0"/>
    <x v="0"/>
    <x v="6"/>
    <x v="0"/>
    <n v="5"/>
    <n v="700"/>
    <n v="3500"/>
    <n v="2800"/>
  </r>
  <r>
    <s v="SBAR0150"/>
    <x v="131"/>
    <x v="2"/>
    <x v="1"/>
    <x v="1"/>
    <x v="7"/>
    <x v="1"/>
    <n v="2"/>
    <n v="1000"/>
    <n v="2000"/>
    <n v="1000"/>
  </r>
  <r>
    <s v="SBAR0151"/>
    <x v="122"/>
    <x v="6"/>
    <x v="0"/>
    <x v="0"/>
    <x v="0"/>
    <x v="1"/>
    <n v="6"/>
    <n v="500"/>
    <n v="3000"/>
    <n v="2500"/>
  </r>
  <r>
    <s v="SBAR0152"/>
    <x v="132"/>
    <x v="1"/>
    <x v="1"/>
    <x v="1"/>
    <x v="1"/>
    <x v="3"/>
    <n v="2"/>
    <n v="2000"/>
    <n v="4000"/>
    <n v="2000"/>
  </r>
  <r>
    <s v="SBAR0153"/>
    <x v="133"/>
    <x v="6"/>
    <x v="0"/>
    <x v="0"/>
    <x v="6"/>
    <x v="3"/>
    <n v="6"/>
    <n v="700"/>
    <n v="4200"/>
    <n v="3500"/>
  </r>
  <r>
    <s v="SBAR0154"/>
    <x v="46"/>
    <x v="7"/>
    <x v="0"/>
    <x v="1"/>
    <x v="7"/>
    <x v="1"/>
    <n v="5"/>
    <n v="1000"/>
    <n v="5000"/>
    <n v="4000"/>
  </r>
  <r>
    <s v="SBAR0155"/>
    <x v="73"/>
    <x v="3"/>
    <x v="1"/>
    <x v="0"/>
    <x v="4"/>
    <x v="0"/>
    <n v="6"/>
    <n v="2500"/>
    <n v="15000"/>
    <n v="12500"/>
  </r>
  <r>
    <s v="SBAR0156"/>
    <x v="134"/>
    <x v="0"/>
    <x v="0"/>
    <x v="1"/>
    <x v="7"/>
    <x v="0"/>
    <n v="5"/>
    <n v="1000"/>
    <n v="5000"/>
    <n v="4000"/>
  </r>
  <r>
    <s v="SBAR0157"/>
    <x v="33"/>
    <x v="11"/>
    <x v="1"/>
    <x v="1"/>
    <x v="1"/>
    <x v="1"/>
    <n v="1"/>
    <n v="2000"/>
    <n v="2000"/>
    <n v="0"/>
  </r>
  <r>
    <s v="SBAR0158"/>
    <x v="1"/>
    <x v="1"/>
    <x v="1"/>
    <x v="2"/>
    <x v="2"/>
    <x v="3"/>
    <n v="1"/>
    <n v="1200"/>
    <n v="1200"/>
    <n v="0"/>
  </r>
  <r>
    <s v="SBAR0159"/>
    <x v="51"/>
    <x v="0"/>
    <x v="1"/>
    <x v="1"/>
    <x v="1"/>
    <x v="3"/>
    <n v="2"/>
    <n v="2000"/>
    <n v="4000"/>
    <n v="2000"/>
  </r>
  <r>
    <s v="SBAR0160"/>
    <x v="135"/>
    <x v="8"/>
    <x v="0"/>
    <x v="1"/>
    <x v="3"/>
    <x v="2"/>
    <n v="5"/>
    <n v="1500"/>
    <n v="7500"/>
    <n v="6000"/>
  </r>
  <r>
    <s v="SBAR0161"/>
    <x v="136"/>
    <x v="10"/>
    <x v="1"/>
    <x v="1"/>
    <x v="7"/>
    <x v="1"/>
    <n v="3"/>
    <n v="1000"/>
    <n v="3000"/>
    <n v="2000"/>
  </r>
  <r>
    <s v="SBAR0162"/>
    <x v="65"/>
    <x v="1"/>
    <x v="0"/>
    <x v="1"/>
    <x v="3"/>
    <x v="3"/>
    <n v="5"/>
    <n v="1500"/>
    <n v="7500"/>
    <n v="6000"/>
  </r>
  <r>
    <s v="SBAR0163"/>
    <x v="137"/>
    <x v="2"/>
    <x v="1"/>
    <x v="1"/>
    <x v="7"/>
    <x v="1"/>
    <n v="1"/>
    <n v="1000"/>
    <n v="1000"/>
    <n v="0"/>
  </r>
  <r>
    <s v="SBAR0164"/>
    <x v="109"/>
    <x v="3"/>
    <x v="1"/>
    <x v="1"/>
    <x v="3"/>
    <x v="3"/>
    <n v="1"/>
    <n v="1500"/>
    <n v="1500"/>
    <n v="0"/>
  </r>
  <r>
    <s v="SBAR0165"/>
    <x v="138"/>
    <x v="5"/>
    <x v="0"/>
    <x v="0"/>
    <x v="4"/>
    <x v="1"/>
    <n v="5"/>
    <n v="2500"/>
    <n v="12500"/>
    <n v="10000"/>
  </r>
  <r>
    <s v="SBAR0166"/>
    <x v="139"/>
    <x v="7"/>
    <x v="1"/>
    <x v="1"/>
    <x v="7"/>
    <x v="3"/>
    <n v="1"/>
    <n v="1000"/>
    <n v="1000"/>
    <n v="0"/>
  </r>
  <r>
    <s v="SBAR0167"/>
    <x v="140"/>
    <x v="10"/>
    <x v="0"/>
    <x v="0"/>
    <x v="5"/>
    <x v="2"/>
    <n v="2"/>
    <n v="1200"/>
    <n v="2400"/>
    <n v="1200"/>
  </r>
  <r>
    <s v="SBAR0168"/>
    <x v="141"/>
    <x v="1"/>
    <x v="1"/>
    <x v="1"/>
    <x v="7"/>
    <x v="3"/>
    <n v="1"/>
    <n v="1000"/>
    <n v="1000"/>
    <n v="0"/>
  </r>
  <r>
    <s v="SBAR0169"/>
    <x v="142"/>
    <x v="0"/>
    <x v="0"/>
    <x v="0"/>
    <x v="4"/>
    <x v="2"/>
    <n v="3"/>
    <n v="2500"/>
    <n v="7500"/>
    <n v="5000"/>
  </r>
  <r>
    <s v="SBAR0170"/>
    <x v="143"/>
    <x v="6"/>
    <x v="1"/>
    <x v="2"/>
    <x v="2"/>
    <x v="3"/>
    <n v="1"/>
    <n v="1200"/>
    <n v="1200"/>
    <n v="0"/>
  </r>
  <r>
    <s v="SBAR0171"/>
    <x v="0"/>
    <x v="0"/>
    <x v="0"/>
    <x v="0"/>
    <x v="6"/>
    <x v="3"/>
    <n v="2"/>
    <n v="700"/>
    <n v="1400"/>
    <n v="700"/>
  </r>
  <r>
    <s v="SBAR0172"/>
    <x v="140"/>
    <x v="10"/>
    <x v="0"/>
    <x v="2"/>
    <x v="2"/>
    <x v="3"/>
    <n v="3"/>
    <n v="1200"/>
    <n v="3600"/>
    <n v="2400"/>
  </r>
  <r>
    <s v="SBAR0173"/>
    <x v="77"/>
    <x v="3"/>
    <x v="0"/>
    <x v="2"/>
    <x v="2"/>
    <x v="3"/>
    <n v="4"/>
    <n v="1200"/>
    <n v="4800"/>
    <n v="3600"/>
  </r>
  <r>
    <s v="SBAR0174"/>
    <x v="22"/>
    <x v="7"/>
    <x v="1"/>
    <x v="1"/>
    <x v="3"/>
    <x v="3"/>
    <n v="3"/>
    <n v="1500"/>
    <n v="4500"/>
    <n v="3000"/>
  </r>
  <r>
    <s v="SBAR0175"/>
    <x v="120"/>
    <x v="10"/>
    <x v="1"/>
    <x v="0"/>
    <x v="0"/>
    <x v="2"/>
    <n v="5"/>
    <n v="500"/>
    <n v="2500"/>
    <n v="2000"/>
  </r>
  <r>
    <s v="SBAR0176"/>
    <x v="144"/>
    <x v="2"/>
    <x v="0"/>
    <x v="2"/>
    <x v="2"/>
    <x v="0"/>
    <n v="5"/>
    <n v="1200"/>
    <n v="6000"/>
    <n v="4800"/>
  </r>
  <r>
    <s v="SBAR0177"/>
    <x v="145"/>
    <x v="10"/>
    <x v="1"/>
    <x v="1"/>
    <x v="1"/>
    <x v="1"/>
    <n v="1"/>
    <n v="2000"/>
    <n v="2000"/>
    <n v="0"/>
  </r>
  <r>
    <s v="SBAR0178"/>
    <x v="146"/>
    <x v="7"/>
    <x v="0"/>
    <x v="1"/>
    <x v="7"/>
    <x v="3"/>
    <n v="5"/>
    <n v="1000"/>
    <n v="5000"/>
    <n v="4000"/>
  </r>
  <r>
    <s v="SBAR0179"/>
    <x v="147"/>
    <x v="10"/>
    <x v="0"/>
    <x v="1"/>
    <x v="1"/>
    <x v="1"/>
    <n v="5"/>
    <n v="2000"/>
    <n v="10000"/>
    <n v="8000"/>
  </r>
  <r>
    <s v="SBAR0180"/>
    <x v="148"/>
    <x v="2"/>
    <x v="1"/>
    <x v="2"/>
    <x v="2"/>
    <x v="3"/>
    <n v="3"/>
    <n v="1200"/>
    <n v="3600"/>
    <n v="2400"/>
  </r>
  <r>
    <s v="SBAR0181"/>
    <x v="149"/>
    <x v="3"/>
    <x v="0"/>
    <x v="0"/>
    <x v="4"/>
    <x v="3"/>
    <n v="4"/>
    <n v="2500"/>
    <n v="10000"/>
    <n v="7500"/>
  </r>
  <r>
    <s v="SBAR0182"/>
    <x v="150"/>
    <x v="6"/>
    <x v="1"/>
    <x v="1"/>
    <x v="3"/>
    <x v="1"/>
    <n v="2"/>
    <n v="1500"/>
    <n v="3000"/>
    <n v="1500"/>
  </r>
  <r>
    <s v="SBAR0183"/>
    <x v="151"/>
    <x v="5"/>
    <x v="0"/>
    <x v="1"/>
    <x v="7"/>
    <x v="3"/>
    <n v="5"/>
    <n v="1000"/>
    <n v="5000"/>
    <n v="4000"/>
  </r>
  <r>
    <s v="SBAR0184"/>
    <x v="152"/>
    <x v="2"/>
    <x v="1"/>
    <x v="2"/>
    <x v="2"/>
    <x v="3"/>
    <n v="1"/>
    <n v="1200"/>
    <n v="1200"/>
    <n v="0"/>
  </r>
  <r>
    <s v="SBAR0185"/>
    <x v="1"/>
    <x v="1"/>
    <x v="1"/>
    <x v="0"/>
    <x v="5"/>
    <x v="0"/>
    <n v="4"/>
    <n v="1200"/>
    <n v="4800"/>
    <n v="3600"/>
  </r>
  <r>
    <s v="SBAR0186"/>
    <x v="153"/>
    <x v="2"/>
    <x v="0"/>
    <x v="0"/>
    <x v="0"/>
    <x v="3"/>
    <n v="5"/>
    <n v="500"/>
    <n v="2500"/>
    <n v="2000"/>
  </r>
  <r>
    <s v="SBAR0187"/>
    <x v="154"/>
    <x v="6"/>
    <x v="1"/>
    <x v="2"/>
    <x v="2"/>
    <x v="3"/>
    <n v="1"/>
    <n v="1200"/>
    <n v="1200"/>
    <n v="0"/>
  </r>
  <r>
    <s v="SBAR0188"/>
    <x v="155"/>
    <x v="3"/>
    <x v="1"/>
    <x v="0"/>
    <x v="0"/>
    <x v="1"/>
    <n v="3"/>
    <n v="500"/>
    <n v="1500"/>
    <n v="1000"/>
  </r>
  <r>
    <s v="SBAR0189"/>
    <x v="156"/>
    <x v="9"/>
    <x v="1"/>
    <x v="2"/>
    <x v="2"/>
    <x v="0"/>
    <n v="3"/>
    <n v="1200"/>
    <n v="3600"/>
    <n v="2400"/>
  </r>
  <r>
    <s v="SBAR0190"/>
    <x v="157"/>
    <x v="3"/>
    <x v="1"/>
    <x v="2"/>
    <x v="2"/>
    <x v="1"/>
    <n v="2"/>
    <n v="1200"/>
    <n v="2400"/>
    <n v="1200"/>
  </r>
  <r>
    <s v="SBAR0191"/>
    <x v="97"/>
    <x v="4"/>
    <x v="0"/>
    <x v="2"/>
    <x v="2"/>
    <x v="0"/>
    <n v="5"/>
    <n v="1200"/>
    <n v="6000"/>
    <n v="4800"/>
  </r>
  <r>
    <s v="SBAR0192"/>
    <x v="49"/>
    <x v="8"/>
    <x v="1"/>
    <x v="2"/>
    <x v="2"/>
    <x v="2"/>
    <n v="1"/>
    <n v="1200"/>
    <n v="1200"/>
    <n v="0"/>
  </r>
  <r>
    <s v="SBAR0193"/>
    <x v="158"/>
    <x v="8"/>
    <x v="1"/>
    <x v="1"/>
    <x v="3"/>
    <x v="0"/>
    <n v="2"/>
    <n v="1500"/>
    <n v="3000"/>
    <n v="1500"/>
  </r>
  <r>
    <s v="SBAR0194"/>
    <x v="159"/>
    <x v="5"/>
    <x v="0"/>
    <x v="0"/>
    <x v="5"/>
    <x v="0"/>
    <n v="5"/>
    <n v="1200"/>
    <n v="6000"/>
    <n v="4800"/>
  </r>
  <r>
    <s v="SBAR0195"/>
    <x v="160"/>
    <x v="8"/>
    <x v="1"/>
    <x v="1"/>
    <x v="3"/>
    <x v="1"/>
    <n v="2"/>
    <n v="1500"/>
    <n v="3000"/>
    <n v="1500"/>
  </r>
  <r>
    <s v="SBAR0196"/>
    <x v="161"/>
    <x v="10"/>
    <x v="0"/>
    <x v="1"/>
    <x v="7"/>
    <x v="2"/>
    <n v="5"/>
    <n v="1000"/>
    <n v="5000"/>
    <n v="4000"/>
  </r>
  <r>
    <s v="SBAR0197"/>
    <x v="162"/>
    <x v="5"/>
    <x v="1"/>
    <x v="2"/>
    <x v="2"/>
    <x v="2"/>
    <n v="2"/>
    <n v="1200"/>
    <n v="2400"/>
    <n v="1200"/>
  </r>
  <r>
    <s v="SBAR0198"/>
    <x v="163"/>
    <x v="5"/>
    <x v="1"/>
    <x v="0"/>
    <x v="6"/>
    <x v="3"/>
    <n v="2"/>
    <n v="700"/>
    <n v="1400"/>
    <n v="700"/>
  </r>
  <r>
    <s v="SBAR0199"/>
    <x v="164"/>
    <x v="6"/>
    <x v="0"/>
    <x v="2"/>
    <x v="2"/>
    <x v="3"/>
    <n v="5"/>
    <n v="1200"/>
    <n v="6000"/>
    <n v="4800"/>
  </r>
  <r>
    <s v="SBAR0200"/>
    <x v="165"/>
    <x v="5"/>
    <x v="0"/>
    <x v="0"/>
    <x v="4"/>
    <x v="3"/>
    <n v="8"/>
    <n v="2500"/>
    <n v="20000"/>
    <n v="17500"/>
  </r>
  <r>
    <s v="SBAR0201"/>
    <x v="166"/>
    <x v="7"/>
    <x v="0"/>
    <x v="1"/>
    <x v="1"/>
    <x v="1"/>
    <n v="8"/>
    <n v="2000"/>
    <n v="16000"/>
    <n v="14000"/>
  </r>
  <r>
    <s v="SBAR0202"/>
    <x v="167"/>
    <x v="10"/>
    <x v="1"/>
    <x v="0"/>
    <x v="0"/>
    <x v="1"/>
    <n v="3"/>
    <n v="500"/>
    <n v="1500"/>
    <n v="1000"/>
  </r>
  <r>
    <s v="SBAR0203"/>
    <x v="106"/>
    <x v="3"/>
    <x v="1"/>
    <x v="2"/>
    <x v="2"/>
    <x v="0"/>
    <n v="2"/>
    <n v="1200"/>
    <n v="2400"/>
    <n v="1200"/>
  </r>
  <r>
    <s v="SBAR0204"/>
    <x v="168"/>
    <x v="10"/>
    <x v="0"/>
    <x v="1"/>
    <x v="7"/>
    <x v="1"/>
    <n v="7"/>
    <n v="1000"/>
    <n v="7000"/>
    <n v="6000"/>
  </r>
  <r>
    <s v="SBAR0205"/>
    <x v="169"/>
    <x v="3"/>
    <x v="0"/>
    <x v="1"/>
    <x v="1"/>
    <x v="3"/>
    <n v="7"/>
    <n v="2000"/>
    <n v="14000"/>
    <n v="12000"/>
  </r>
  <r>
    <s v="SBAR0206"/>
    <x v="170"/>
    <x v="8"/>
    <x v="0"/>
    <x v="0"/>
    <x v="0"/>
    <x v="3"/>
    <n v="8"/>
    <n v="500"/>
    <n v="4000"/>
    <n v="3500"/>
  </r>
  <r>
    <s v="SBAR0207"/>
    <x v="96"/>
    <x v="4"/>
    <x v="1"/>
    <x v="0"/>
    <x v="4"/>
    <x v="1"/>
    <n v="2"/>
    <n v="2500"/>
    <n v="5000"/>
    <n v="2500"/>
  </r>
  <r>
    <s v="SBAR0208"/>
    <x v="146"/>
    <x v="7"/>
    <x v="0"/>
    <x v="1"/>
    <x v="7"/>
    <x v="1"/>
    <n v="1"/>
    <n v="1000"/>
    <n v="1000"/>
    <n v="0"/>
  </r>
  <r>
    <s v="SBAR0209"/>
    <x v="171"/>
    <x v="11"/>
    <x v="0"/>
    <x v="2"/>
    <x v="2"/>
    <x v="1"/>
    <n v="5"/>
    <n v="1200"/>
    <n v="6000"/>
    <n v="4800"/>
  </r>
  <r>
    <s v="SBAR0210"/>
    <x v="172"/>
    <x v="7"/>
    <x v="1"/>
    <x v="2"/>
    <x v="2"/>
    <x v="3"/>
    <n v="2"/>
    <n v="1200"/>
    <n v="2400"/>
    <n v="1200"/>
  </r>
  <r>
    <s v="SBAR0211"/>
    <x v="173"/>
    <x v="11"/>
    <x v="0"/>
    <x v="0"/>
    <x v="5"/>
    <x v="2"/>
    <n v="10"/>
    <n v="1200"/>
    <n v="12000"/>
    <n v="10800"/>
  </r>
  <r>
    <s v="SBAR0212"/>
    <x v="174"/>
    <x v="6"/>
    <x v="1"/>
    <x v="0"/>
    <x v="0"/>
    <x v="1"/>
    <n v="3"/>
    <n v="500"/>
    <n v="1500"/>
    <n v="1000"/>
  </r>
  <r>
    <s v="SBAR0213"/>
    <x v="113"/>
    <x v="9"/>
    <x v="0"/>
    <x v="2"/>
    <x v="2"/>
    <x v="0"/>
    <n v="4"/>
    <n v="1200"/>
    <n v="4800"/>
    <n v="3600"/>
  </r>
  <r>
    <s v="SBAR0214"/>
    <x v="175"/>
    <x v="6"/>
    <x v="0"/>
    <x v="1"/>
    <x v="1"/>
    <x v="0"/>
    <n v="9"/>
    <n v="2000"/>
    <n v="18000"/>
    <n v="16000"/>
  </r>
  <r>
    <s v="SBAR0215"/>
    <x v="23"/>
    <x v="0"/>
    <x v="0"/>
    <x v="1"/>
    <x v="3"/>
    <x v="0"/>
    <n v="2"/>
    <n v="1500"/>
    <n v="3000"/>
    <n v="1500"/>
  </r>
  <r>
    <s v="SBAR0216"/>
    <x v="144"/>
    <x v="2"/>
    <x v="0"/>
    <x v="1"/>
    <x v="7"/>
    <x v="2"/>
    <n v="1"/>
    <n v="1000"/>
    <n v="1000"/>
    <n v="0"/>
  </r>
  <r>
    <s v="SBAR0217"/>
    <x v="176"/>
    <x v="8"/>
    <x v="0"/>
    <x v="0"/>
    <x v="5"/>
    <x v="1"/>
    <n v="2"/>
    <n v="1200"/>
    <n v="2400"/>
    <n v="1200"/>
  </r>
  <r>
    <s v="SBAR0218"/>
    <x v="177"/>
    <x v="10"/>
    <x v="0"/>
    <x v="1"/>
    <x v="1"/>
    <x v="1"/>
    <n v="3"/>
    <n v="2000"/>
    <n v="6000"/>
    <n v="4000"/>
  </r>
  <r>
    <s v="SBAR0219"/>
    <x v="178"/>
    <x v="1"/>
    <x v="0"/>
    <x v="1"/>
    <x v="3"/>
    <x v="3"/>
    <n v="1"/>
    <n v="1500"/>
    <n v="1500"/>
    <n v="0"/>
  </r>
  <r>
    <s v="SBAR0220"/>
    <x v="179"/>
    <x v="5"/>
    <x v="1"/>
    <x v="0"/>
    <x v="4"/>
    <x v="3"/>
    <n v="5"/>
    <n v="2500"/>
    <n v="12500"/>
    <n v="10000"/>
  </r>
  <r>
    <s v="SBAR0221"/>
    <x v="180"/>
    <x v="3"/>
    <x v="1"/>
    <x v="1"/>
    <x v="3"/>
    <x v="3"/>
    <n v="1"/>
    <n v="1500"/>
    <n v="1500"/>
    <n v="0"/>
  </r>
  <r>
    <s v="SBAR0222"/>
    <x v="181"/>
    <x v="4"/>
    <x v="1"/>
    <x v="1"/>
    <x v="1"/>
    <x v="3"/>
    <n v="2"/>
    <n v="2000"/>
    <n v="4000"/>
    <n v="2000"/>
  </r>
  <r>
    <s v="SBAR0223"/>
    <x v="124"/>
    <x v="8"/>
    <x v="1"/>
    <x v="2"/>
    <x v="2"/>
    <x v="3"/>
    <n v="3"/>
    <n v="1200"/>
    <n v="3600"/>
    <n v="2400"/>
  </r>
  <r>
    <s v="SBAR0224"/>
    <x v="182"/>
    <x v="11"/>
    <x v="1"/>
    <x v="0"/>
    <x v="4"/>
    <x v="3"/>
    <n v="1"/>
    <n v="2500"/>
    <n v="2500"/>
    <n v="0"/>
  </r>
  <r>
    <s v="SBAR0225"/>
    <x v="183"/>
    <x v="2"/>
    <x v="1"/>
    <x v="2"/>
    <x v="2"/>
    <x v="2"/>
    <n v="1"/>
    <n v="1200"/>
    <n v="1200"/>
    <n v="0"/>
  </r>
  <r>
    <s v="SBAR0226"/>
    <x v="184"/>
    <x v="4"/>
    <x v="0"/>
    <x v="2"/>
    <x v="2"/>
    <x v="1"/>
    <n v="4"/>
    <n v="1200"/>
    <n v="4800"/>
    <n v="3600"/>
  </r>
  <r>
    <s v="SBAR0227"/>
    <x v="185"/>
    <x v="7"/>
    <x v="0"/>
    <x v="0"/>
    <x v="4"/>
    <x v="0"/>
    <n v="1"/>
    <n v="2500"/>
    <n v="2500"/>
    <n v="0"/>
  </r>
  <r>
    <s v="SBAR0228"/>
    <x v="186"/>
    <x v="4"/>
    <x v="1"/>
    <x v="1"/>
    <x v="1"/>
    <x v="0"/>
    <n v="1"/>
    <n v="2000"/>
    <n v="2000"/>
    <n v="0"/>
  </r>
  <r>
    <s v="SBAR0229"/>
    <x v="184"/>
    <x v="4"/>
    <x v="0"/>
    <x v="0"/>
    <x v="4"/>
    <x v="3"/>
    <n v="4"/>
    <n v="2500"/>
    <n v="10000"/>
    <n v="7500"/>
  </r>
  <r>
    <s v="SBAR0230"/>
    <x v="26"/>
    <x v="4"/>
    <x v="1"/>
    <x v="1"/>
    <x v="7"/>
    <x v="3"/>
    <n v="3"/>
    <n v="1000"/>
    <n v="3000"/>
    <n v="2000"/>
  </r>
  <r>
    <s v="SBAR0231"/>
    <x v="187"/>
    <x v="2"/>
    <x v="1"/>
    <x v="2"/>
    <x v="2"/>
    <x v="3"/>
    <n v="1"/>
    <n v="1200"/>
    <n v="1200"/>
    <n v="0"/>
  </r>
  <r>
    <s v="SBAR0232"/>
    <x v="188"/>
    <x v="8"/>
    <x v="1"/>
    <x v="1"/>
    <x v="7"/>
    <x v="3"/>
    <n v="2"/>
    <n v="1000"/>
    <n v="2000"/>
    <n v="1000"/>
  </r>
  <r>
    <s v="SBAR0233"/>
    <x v="189"/>
    <x v="11"/>
    <x v="0"/>
    <x v="0"/>
    <x v="5"/>
    <x v="2"/>
    <n v="4"/>
    <n v="1200"/>
    <n v="4800"/>
    <n v="3600"/>
  </r>
  <r>
    <s v="SBAR0234"/>
    <x v="190"/>
    <x v="0"/>
    <x v="0"/>
    <x v="1"/>
    <x v="3"/>
    <x v="1"/>
    <n v="1"/>
    <n v="1500"/>
    <n v="1500"/>
    <n v="0"/>
  </r>
  <r>
    <s v="SBAR0235"/>
    <x v="191"/>
    <x v="8"/>
    <x v="1"/>
    <x v="2"/>
    <x v="2"/>
    <x v="1"/>
    <n v="1"/>
    <n v="1200"/>
    <n v="1200"/>
    <n v="0"/>
  </r>
  <r>
    <s v="SBAR0236"/>
    <x v="91"/>
    <x v="4"/>
    <x v="1"/>
    <x v="1"/>
    <x v="1"/>
    <x v="2"/>
    <n v="1"/>
    <n v="2000"/>
    <n v="2000"/>
    <n v="0"/>
  </r>
  <r>
    <s v="SBAR0237"/>
    <x v="192"/>
    <x v="8"/>
    <x v="1"/>
    <x v="1"/>
    <x v="3"/>
    <x v="2"/>
    <n v="3"/>
    <n v="1500"/>
    <n v="4500"/>
    <n v="3000"/>
  </r>
  <r>
    <s v="SBAR0238"/>
    <x v="13"/>
    <x v="9"/>
    <x v="1"/>
    <x v="2"/>
    <x v="2"/>
    <x v="0"/>
    <n v="3"/>
    <n v="1200"/>
    <n v="3600"/>
    <n v="2400"/>
  </r>
  <r>
    <s v="SBAR0239"/>
    <x v="193"/>
    <x v="11"/>
    <x v="1"/>
    <x v="0"/>
    <x v="4"/>
    <x v="2"/>
    <n v="1"/>
    <n v="2500"/>
    <n v="2500"/>
    <n v="0"/>
  </r>
  <r>
    <s v="SBAR0240"/>
    <x v="188"/>
    <x v="8"/>
    <x v="1"/>
    <x v="2"/>
    <x v="2"/>
    <x v="2"/>
    <n v="2"/>
    <n v="1200"/>
    <n v="2400"/>
    <n v="1200"/>
  </r>
  <r>
    <s v="SBAR0241"/>
    <x v="194"/>
    <x v="10"/>
    <x v="0"/>
    <x v="1"/>
    <x v="3"/>
    <x v="0"/>
    <n v="2"/>
    <n v="1500"/>
    <n v="3000"/>
    <n v="1500"/>
  </r>
  <r>
    <s v="SBAR0242"/>
    <x v="195"/>
    <x v="4"/>
    <x v="1"/>
    <x v="0"/>
    <x v="4"/>
    <x v="1"/>
    <n v="2"/>
    <n v="2500"/>
    <n v="5000"/>
    <n v="2500"/>
  </r>
  <r>
    <s v="SBAR0243"/>
    <x v="196"/>
    <x v="0"/>
    <x v="1"/>
    <x v="0"/>
    <x v="0"/>
    <x v="0"/>
    <n v="2"/>
    <n v="500"/>
    <n v="1000"/>
    <n v="500"/>
  </r>
  <r>
    <s v="SBAR0244"/>
    <x v="197"/>
    <x v="6"/>
    <x v="0"/>
    <x v="0"/>
    <x v="4"/>
    <x v="2"/>
    <n v="5"/>
    <n v="2500"/>
    <n v="12500"/>
    <n v="10000"/>
  </r>
  <r>
    <s v="SBAR0245"/>
    <x v="159"/>
    <x v="5"/>
    <x v="0"/>
    <x v="1"/>
    <x v="3"/>
    <x v="2"/>
    <n v="2"/>
    <n v="1500"/>
    <n v="3000"/>
    <n v="1500"/>
  </r>
  <r>
    <s v="SBAR0246"/>
    <x v="198"/>
    <x v="4"/>
    <x v="1"/>
    <x v="0"/>
    <x v="4"/>
    <x v="3"/>
    <n v="5"/>
    <n v="2500"/>
    <n v="12500"/>
    <n v="10000"/>
  </r>
  <r>
    <s v="SBAR0247"/>
    <x v="146"/>
    <x v="7"/>
    <x v="0"/>
    <x v="0"/>
    <x v="0"/>
    <x v="0"/>
    <n v="4"/>
    <n v="500"/>
    <n v="2000"/>
    <n v="1500"/>
  </r>
  <r>
    <s v="SBAR0248"/>
    <x v="199"/>
    <x v="5"/>
    <x v="1"/>
    <x v="1"/>
    <x v="1"/>
    <x v="0"/>
    <n v="2"/>
    <n v="2000"/>
    <n v="4000"/>
    <n v="2000"/>
  </r>
  <r>
    <s v="SBAR0249"/>
    <x v="200"/>
    <x v="4"/>
    <x v="0"/>
    <x v="2"/>
    <x v="2"/>
    <x v="0"/>
    <n v="5"/>
    <n v="1200"/>
    <n v="6000"/>
    <n v="4800"/>
  </r>
  <r>
    <s v="SBAR0250"/>
    <x v="201"/>
    <x v="4"/>
    <x v="0"/>
    <x v="1"/>
    <x v="1"/>
    <x v="0"/>
    <n v="1"/>
    <n v="2000"/>
    <n v="2000"/>
    <n v="0"/>
  </r>
  <r>
    <s v="SBAR0251"/>
    <x v="202"/>
    <x v="1"/>
    <x v="0"/>
    <x v="1"/>
    <x v="7"/>
    <x v="3"/>
    <n v="3"/>
    <n v="1000"/>
    <n v="3000"/>
    <n v="2000"/>
  </r>
  <r>
    <s v="SBAR0252"/>
    <x v="203"/>
    <x v="3"/>
    <x v="1"/>
    <x v="0"/>
    <x v="0"/>
    <x v="3"/>
    <n v="1"/>
    <n v="500"/>
    <n v="500"/>
    <n v="0"/>
  </r>
  <r>
    <s v="SBAR0253"/>
    <x v="202"/>
    <x v="1"/>
    <x v="0"/>
    <x v="0"/>
    <x v="4"/>
    <x v="2"/>
    <n v="1"/>
    <n v="2500"/>
    <n v="2500"/>
    <n v="0"/>
  </r>
  <r>
    <s v="SBAR0254"/>
    <x v="204"/>
    <x v="9"/>
    <x v="0"/>
    <x v="0"/>
    <x v="5"/>
    <x v="1"/>
    <n v="4"/>
    <n v="1200"/>
    <n v="4800"/>
    <n v="3600"/>
  </r>
  <r>
    <s v="SBAR0255"/>
    <x v="205"/>
    <x v="7"/>
    <x v="1"/>
    <x v="2"/>
    <x v="2"/>
    <x v="3"/>
    <n v="5"/>
    <n v="1200"/>
    <n v="6000"/>
    <n v="4800"/>
  </r>
  <r>
    <s v="SBAR0256"/>
    <x v="206"/>
    <x v="1"/>
    <x v="1"/>
    <x v="2"/>
    <x v="2"/>
    <x v="0"/>
    <n v="1"/>
    <n v="1200"/>
    <n v="1200"/>
    <n v="0"/>
  </r>
  <r>
    <s v="SBAR0257"/>
    <x v="39"/>
    <x v="1"/>
    <x v="1"/>
    <x v="2"/>
    <x v="2"/>
    <x v="3"/>
    <n v="4"/>
    <n v="1200"/>
    <n v="4800"/>
    <n v="3600"/>
  </r>
  <r>
    <s v="SBAR0258"/>
    <x v="207"/>
    <x v="6"/>
    <x v="0"/>
    <x v="0"/>
    <x v="0"/>
    <x v="1"/>
    <n v="4"/>
    <n v="500"/>
    <n v="2000"/>
    <n v="1500"/>
  </r>
  <r>
    <s v="SBAR0259"/>
    <x v="208"/>
    <x v="8"/>
    <x v="0"/>
    <x v="1"/>
    <x v="1"/>
    <x v="0"/>
    <n v="2"/>
    <n v="2000"/>
    <n v="4000"/>
    <n v="2000"/>
  </r>
  <r>
    <s v="SBAR0260"/>
    <x v="209"/>
    <x v="11"/>
    <x v="1"/>
    <x v="1"/>
    <x v="7"/>
    <x v="1"/>
    <n v="2"/>
    <n v="1000"/>
    <n v="2000"/>
    <n v="1000"/>
  </r>
  <r>
    <s v="SBAR0261"/>
    <x v="170"/>
    <x v="8"/>
    <x v="0"/>
    <x v="0"/>
    <x v="0"/>
    <x v="0"/>
    <n v="1"/>
    <n v="500"/>
    <n v="500"/>
    <n v="0"/>
  </r>
  <r>
    <s v="SBAR0262"/>
    <x v="210"/>
    <x v="9"/>
    <x v="0"/>
    <x v="0"/>
    <x v="6"/>
    <x v="3"/>
    <n v="1"/>
    <n v="700"/>
    <n v="700"/>
    <n v="0"/>
  </r>
  <r>
    <s v="SBAR0263"/>
    <x v="211"/>
    <x v="1"/>
    <x v="0"/>
    <x v="2"/>
    <x v="2"/>
    <x v="2"/>
    <n v="5"/>
    <n v="1200"/>
    <n v="6000"/>
    <n v="4800"/>
  </r>
  <r>
    <s v="SBAR0264"/>
    <x v="212"/>
    <x v="9"/>
    <x v="1"/>
    <x v="0"/>
    <x v="5"/>
    <x v="0"/>
    <n v="4"/>
    <n v="1200"/>
    <n v="4800"/>
    <n v="3600"/>
  </r>
  <r>
    <s v="SBAR0265"/>
    <x v="213"/>
    <x v="6"/>
    <x v="0"/>
    <x v="1"/>
    <x v="7"/>
    <x v="3"/>
    <n v="3"/>
    <n v="1000"/>
    <n v="3000"/>
    <n v="2000"/>
  </r>
  <r>
    <s v="SBAR0266"/>
    <x v="214"/>
    <x v="0"/>
    <x v="0"/>
    <x v="0"/>
    <x v="5"/>
    <x v="1"/>
    <n v="3"/>
    <n v="1200"/>
    <n v="3600"/>
    <n v="2400"/>
  </r>
  <r>
    <s v="SBAR0267"/>
    <x v="215"/>
    <x v="0"/>
    <x v="0"/>
    <x v="0"/>
    <x v="0"/>
    <x v="2"/>
    <n v="2"/>
    <n v="500"/>
    <n v="1000"/>
    <n v="500"/>
  </r>
  <r>
    <s v="SBAR0268"/>
    <x v="216"/>
    <x v="1"/>
    <x v="1"/>
    <x v="2"/>
    <x v="2"/>
    <x v="2"/>
    <n v="1"/>
    <n v="1200"/>
    <n v="1200"/>
    <n v="0"/>
  </r>
  <r>
    <s v="SBAR0269"/>
    <x v="217"/>
    <x v="8"/>
    <x v="1"/>
    <x v="1"/>
    <x v="7"/>
    <x v="1"/>
    <n v="1"/>
    <n v="1000"/>
    <n v="1000"/>
    <n v="0"/>
  </r>
  <r>
    <s v="SBAR0270"/>
    <x v="218"/>
    <x v="9"/>
    <x v="0"/>
    <x v="1"/>
    <x v="3"/>
    <x v="3"/>
    <n v="3"/>
    <n v="1500"/>
    <n v="4500"/>
    <n v="3000"/>
  </r>
  <r>
    <s v="SBAR0271"/>
    <x v="219"/>
    <x v="11"/>
    <x v="1"/>
    <x v="2"/>
    <x v="2"/>
    <x v="1"/>
    <n v="1"/>
    <n v="1200"/>
    <n v="1200"/>
    <n v="0"/>
  </r>
  <r>
    <s v="SBAR0272"/>
    <x v="220"/>
    <x v="1"/>
    <x v="1"/>
    <x v="0"/>
    <x v="5"/>
    <x v="1"/>
    <n v="3"/>
    <n v="1200"/>
    <n v="3600"/>
    <n v="2400"/>
  </r>
  <r>
    <s v="SBAR0273"/>
    <x v="221"/>
    <x v="3"/>
    <x v="1"/>
    <x v="1"/>
    <x v="3"/>
    <x v="2"/>
    <n v="1"/>
    <n v="1500"/>
    <n v="1500"/>
    <n v="0"/>
  </r>
  <r>
    <s v="SBAR0274"/>
    <x v="56"/>
    <x v="7"/>
    <x v="1"/>
    <x v="2"/>
    <x v="2"/>
    <x v="0"/>
    <n v="2"/>
    <n v="1200"/>
    <n v="2400"/>
    <n v="1200"/>
  </r>
  <r>
    <s v="SBAR0275"/>
    <x v="205"/>
    <x v="7"/>
    <x v="1"/>
    <x v="2"/>
    <x v="2"/>
    <x v="0"/>
    <n v="5"/>
    <n v="1200"/>
    <n v="6000"/>
    <n v="4800"/>
  </r>
  <r>
    <s v="SBAR0276"/>
    <x v="46"/>
    <x v="7"/>
    <x v="0"/>
    <x v="0"/>
    <x v="0"/>
    <x v="3"/>
    <n v="4"/>
    <n v="500"/>
    <n v="2000"/>
    <n v="1500"/>
  </r>
  <r>
    <s v="SBAR0277"/>
    <x v="27"/>
    <x v="1"/>
    <x v="0"/>
    <x v="1"/>
    <x v="3"/>
    <x v="1"/>
    <n v="2"/>
    <n v="1500"/>
    <n v="3000"/>
    <n v="1500"/>
  </r>
  <r>
    <s v="SBAR0278"/>
    <x v="222"/>
    <x v="5"/>
    <x v="1"/>
    <x v="2"/>
    <x v="2"/>
    <x v="0"/>
    <n v="1"/>
    <n v="1200"/>
    <n v="1200"/>
    <n v="0"/>
  </r>
  <r>
    <s v="SBAR0279"/>
    <x v="12"/>
    <x v="8"/>
    <x v="0"/>
    <x v="0"/>
    <x v="4"/>
    <x v="0"/>
    <n v="6"/>
    <n v="2500"/>
    <n v="15000"/>
    <n v="12500"/>
  </r>
  <r>
    <s v="SBAR0280"/>
    <x v="223"/>
    <x v="7"/>
    <x v="1"/>
    <x v="0"/>
    <x v="5"/>
    <x v="3"/>
    <n v="6"/>
    <n v="1200"/>
    <n v="7200"/>
    <n v="6000"/>
  </r>
  <r>
    <s v="SBAR0281"/>
    <x v="196"/>
    <x v="0"/>
    <x v="1"/>
    <x v="1"/>
    <x v="1"/>
    <x v="3"/>
    <n v="2"/>
    <n v="2000"/>
    <n v="4000"/>
    <n v="2000"/>
  </r>
  <r>
    <s v="SBAR0282"/>
    <x v="81"/>
    <x v="1"/>
    <x v="0"/>
    <x v="1"/>
    <x v="3"/>
    <x v="0"/>
    <n v="2"/>
    <n v="1500"/>
    <n v="3000"/>
    <n v="1500"/>
  </r>
  <r>
    <s v="SBAR0283"/>
    <x v="224"/>
    <x v="3"/>
    <x v="1"/>
    <x v="1"/>
    <x v="1"/>
    <x v="1"/>
    <n v="3"/>
    <n v="2000"/>
    <n v="6000"/>
    <n v="4000"/>
  </r>
  <r>
    <s v="SBAR0284"/>
    <x v="225"/>
    <x v="8"/>
    <x v="1"/>
    <x v="2"/>
    <x v="2"/>
    <x v="1"/>
    <n v="1"/>
    <n v="1200"/>
    <n v="1200"/>
    <n v="0"/>
  </r>
  <r>
    <s v="SBAR0285"/>
    <x v="226"/>
    <x v="8"/>
    <x v="0"/>
    <x v="0"/>
    <x v="0"/>
    <x v="0"/>
    <n v="1"/>
    <n v="500"/>
    <n v="500"/>
    <n v="0"/>
  </r>
  <r>
    <s v="SBAR0286"/>
    <x v="227"/>
    <x v="7"/>
    <x v="0"/>
    <x v="0"/>
    <x v="4"/>
    <x v="2"/>
    <n v="2"/>
    <n v="2500"/>
    <n v="5000"/>
    <n v="2500"/>
  </r>
  <r>
    <s v="SBAR0287"/>
    <x v="216"/>
    <x v="1"/>
    <x v="1"/>
    <x v="1"/>
    <x v="1"/>
    <x v="1"/>
    <n v="1"/>
    <n v="2000"/>
    <n v="2000"/>
    <n v="0"/>
  </r>
  <r>
    <s v="SBAR0288"/>
    <x v="228"/>
    <x v="9"/>
    <x v="1"/>
    <x v="0"/>
    <x v="0"/>
    <x v="3"/>
    <n v="2"/>
    <n v="500"/>
    <n v="1000"/>
    <n v="500"/>
  </r>
  <r>
    <s v="SBAR0289"/>
    <x v="229"/>
    <x v="0"/>
    <x v="0"/>
    <x v="0"/>
    <x v="4"/>
    <x v="2"/>
    <n v="5"/>
    <n v="2500"/>
    <n v="12500"/>
    <n v="10000"/>
  </r>
  <r>
    <s v="SBAR0290"/>
    <x v="230"/>
    <x v="7"/>
    <x v="0"/>
    <x v="2"/>
    <x v="2"/>
    <x v="0"/>
    <n v="4"/>
    <n v="1200"/>
    <n v="4800"/>
    <n v="3600"/>
  </r>
  <r>
    <s v="SBAR0291"/>
    <x v="231"/>
    <x v="2"/>
    <x v="1"/>
    <x v="2"/>
    <x v="2"/>
    <x v="3"/>
    <n v="1"/>
    <n v="1200"/>
    <n v="1200"/>
    <n v="0"/>
  </r>
  <r>
    <s v="SBAR0292"/>
    <x v="15"/>
    <x v="1"/>
    <x v="1"/>
    <x v="1"/>
    <x v="3"/>
    <x v="1"/>
    <n v="3"/>
    <n v="1500"/>
    <n v="4500"/>
    <n v="3000"/>
  </r>
  <r>
    <s v="SBAR0293"/>
    <x v="232"/>
    <x v="4"/>
    <x v="1"/>
    <x v="1"/>
    <x v="7"/>
    <x v="3"/>
    <n v="2"/>
    <n v="1000"/>
    <n v="2000"/>
    <n v="1000"/>
  </r>
  <r>
    <s v="SBAR0294"/>
    <x v="233"/>
    <x v="10"/>
    <x v="1"/>
    <x v="0"/>
    <x v="0"/>
    <x v="0"/>
    <n v="3"/>
    <n v="500"/>
    <n v="1500"/>
    <n v="1000"/>
  </r>
  <r>
    <s v="SBAR0295"/>
    <x v="204"/>
    <x v="9"/>
    <x v="0"/>
    <x v="0"/>
    <x v="5"/>
    <x v="3"/>
    <n v="6"/>
    <n v="1200"/>
    <n v="7200"/>
    <n v="6000"/>
  </r>
  <r>
    <s v="SBAR0296"/>
    <x v="159"/>
    <x v="5"/>
    <x v="0"/>
    <x v="1"/>
    <x v="3"/>
    <x v="3"/>
    <n v="1"/>
    <n v="1500"/>
    <n v="1500"/>
    <n v="0"/>
  </r>
  <r>
    <s v="SBAR0297"/>
    <x v="234"/>
    <x v="5"/>
    <x v="0"/>
    <x v="0"/>
    <x v="0"/>
    <x v="3"/>
    <n v="5"/>
    <n v="500"/>
    <n v="2500"/>
    <n v="2000"/>
  </r>
  <r>
    <s v="SBAR0298"/>
    <x v="235"/>
    <x v="4"/>
    <x v="1"/>
    <x v="0"/>
    <x v="4"/>
    <x v="1"/>
    <n v="6"/>
    <n v="2500"/>
    <n v="15000"/>
    <n v="12500"/>
  </r>
  <r>
    <s v="SBAR0299"/>
    <x v="93"/>
    <x v="9"/>
    <x v="0"/>
    <x v="1"/>
    <x v="3"/>
    <x v="1"/>
    <n v="1"/>
    <n v="1500"/>
    <n v="1500"/>
    <n v="0"/>
  </r>
  <r>
    <s v="SBAR0300"/>
    <x v="191"/>
    <x v="8"/>
    <x v="1"/>
    <x v="0"/>
    <x v="6"/>
    <x v="2"/>
    <n v="3"/>
    <n v="700"/>
    <n v="2100"/>
    <n v="1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4" firstHeaderRow="0" firstDataRow="1" firstDataCol="1"/>
  <pivotFields count="11">
    <pivotField showAll="0"/>
    <pivotField numFmtId="14" showAll="0">
      <items count="7">
        <item x="0"/>
        <item x="1"/>
        <item x="2"/>
        <item x="3"/>
        <item x="4"/>
        <item x="5"/>
        <item t="default"/>
      </items>
    </pivotField>
    <pivotField showAll="0"/>
    <pivotField axis="axisRow" showAll="0">
      <items count="3">
        <item x="1"/>
        <item x="0"/>
        <item t="default"/>
      </items>
    </pivotField>
    <pivotField showAll="0">
      <items count="4">
        <item x="0"/>
        <item h="1" x="1"/>
        <item h="1" x="2"/>
        <item t="default"/>
      </items>
    </pivotField>
    <pivotField showAll="0"/>
    <pivotField showAll="0"/>
    <pivotField dataField="1" showAll="0"/>
    <pivotField dataField="1" showAll="0"/>
    <pivotField dataField="1" showAll="0"/>
    <pivotField dataField="1" showAll="0"/>
  </pivotFields>
  <rowFields count="1">
    <field x="3"/>
  </rowFields>
  <rowItems count="3">
    <i>
      <x/>
    </i>
    <i>
      <x v="1"/>
    </i>
    <i t="grand">
      <x/>
    </i>
  </rowItems>
  <colFields count="1">
    <field x="-2"/>
  </colFields>
  <colItems count="4">
    <i>
      <x/>
    </i>
    <i i="1">
      <x v="1"/>
    </i>
    <i i="2">
      <x v="2"/>
    </i>
    <i i="3">
      <x v="3"/>
    </i>
  </colItems>
  <dataFields count="4">
    <dataField name="Sum of Profit" fld="10" baseField="0" baseItem="0"/>
    <dataField name="Sum of Sales" fld="9" baseField="0" baseItem="0"/>
    <dataField name="Sum of Cost" fld="8" baseField="0" baseItem="0"/>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3:T9" firstHeaderRow="1" firstDataRow="2" firstDataCol="1"/>
  <pivotFields count="11">
    <pivotField showAll="0"/>
    <pivotField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showAll="0">
      <items count="9">
        <item x="6"/>
        <item x="1"/>
        <item x="0"/>
        <item x="3"/>
        <item x="4"/>
        <item x="2"/>
        <item x="7"/>
        <item x="5"/>
        <item t="default"/>
      </items>
    </pivotField>
    <pivotField axis="axisRow" showAll="0">
      <items count="5">
        <item x="0"/>
        <item x="3"/>
        <item x="2"/>
        <item x="1"/>
        <item t="default"/>
      </items>
    </pivotField>
    <pivotField showAll="0"/>
    <pivotField showAll="0"/>
    <pivotField dataField="1" showAll="0"/>
    <pivotField showAll="0"/>
  </pivotFields>
  <rowFields count="1">
    <field x="6"/>
  </rowFields>
  <rowItems count="5">
    <i>
      <x/>
    </i>
    <i>
      <x v="1"/>
    </i>
    <i>
      <x v="2"/>
    </i>
    <i>
      <x v="3"/>
    </i>
    <i t="grand">
      <x/>
    </i>
  </rowItems>
  <colFields count="1">
    <field x="3"/>
  </colFields>
  <colItems count="3">
    <i>
      <x/>
    </i>
    <i>
      <x v="1"/>
    </i>
    <i t="grand">
      <x/>
    </i>
  </colItems>
  <dataFields count="1">
    <dataField name="Sum of Sales" fld="9" baseField="0" baseItem="0"/>
  </dataFields>
  <formats count="1">
    <format dxfId="7">
      <pivotArea collapsedLevelsAreSubtotals="1" fieldPosition="0">
        <references count="2">
          <reference field="3" count="1" selected="0">
            <x v="0"/>
          </reference>
          <reference field="6" count="1">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D29" firstHeaderRow="1" firstDataRow="2" firstDataCol="1"/>
  <pivotFields count="11">
    <pivotField showAll="0"/>
    <pivotField numFmtId="14" showAll="0">
      <items count="7">
        <item x="0"/>
        <item x="1"/>
        <item x="2"/>
        <item x="3"/>
        <item x="4"/>
        <item x="5"/>
        <item t="default"/>
      </items>
    </pivotField>
    <pivotField axis="axisRow" showAll="0">
      <items count="13">
        <item x="2"/>
        <item x="9"/>
        <item x="8"/>
        <item x="1"/>
        <item x="5"/>
        <item x="10"/>
        <item x="7"/>
        <item x="4"/>
        <item x="3"/>
        <item x="0"/>
        <item x="6"/>
        <item x="11"/>
        <item t="default"/>
      </items>
    </pivotField>
    <pivotField axis="axisCol" showAll="0">
      <items count="3">
        <item x="1"/>
        <item x="0"/>
        <item t="default"/>
      </items>
    </pivotField>
    <pivotField showAll="0">
      <items count="4">
        <item x="0"/>
        <item h="1" x="1"/>
        <item h="1" x="2"/>
        <item t="default"/>
      </items>
    </pivotField>
    <pivotField showAll="0"/>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9" baseField="0" baseItem="0"/>
  </dataFields>
  <formats count="1">
    <format dxfId="8">
      <pivotArea collapsedLevelsAreSubtotals="1" fieldPosition="0">
        <references count="1">
          <reference field="2" count="2">
            <x v="0"/>
            <x v="1"/>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L3:N8" firstHeaderRow="1" firstDataRow="2" firstDataCol="1"/>
  <pivotFields count="11">
    <pivotField showAll="0"/>
    <pivotField axis="axisRow"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showAll="0"/>
    <pivotField showAll="0"/>
    <pivotField showAll="0"/>
    <pivotField showAll="0"/>
    <pivotField showAll="0"/>
    <pivotField dataField="1" showAll="0"/>
  </pivotFields>
  <rowFields count="1">
    <field x="1"/>
  </rowFields>
  <rowItems count="4">
    <i>
      <x v="1"/>
    </i>
    <i>
      <x v="2"/>
    </i>
    <i>
      <x v="3"/>
    </i>
    <i>
      <x v="4"/>
    </i>
  </rowItems>
  <colFields count="1">
    <field x="3"/>
  </colFields>
  <colItems count="2">
    <i>
      <x/>
    </i>
    <i>
      <x v="1"/>
    </i>
  </colItems>
  <dataFields count="1">
    <dataField name="Sum of Profit" fld="10" baseField="0" baseItem="0"/>
  </dataFields>
  <formats count="1">
    <format dxfId="9">
      <pivotArea collapsedLevelsAreSubtotals="1" fieldPosition="0">
        <references count="2">
          <reference field="1" count="1">
            <x v="1"/>
          </reference>
          <reference field="3" count="1" selected="0">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21:I26" firstHeaderRow="1" firstDataRow="2" firstDataCol="1"/>
  <pivotFields count="11">
    <pivotField showAll="0"/>
    <pivotField axis="axisRow"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showAll="0"/>
    <pivotField showAll="0"/>
    <pivotField showAll="0"/>
    <pivotField dataField="1" showAll="0"/>
    <pivotField showAll="0"/>
    <pivotField showAll="0"/>
  </pivotFields>
  <rowFields count="1">
    <field x="1"/>
  </rowFields>
  <rowItems count="4">
    <i>
      <x v="1"/>
    </i>
    <i>
      <x v="2"/>
    </i>
    <i>
      <x v="3"/>
    </i>
    <i>
      <x v="4"/>
    </i>
  </rowItems>
  <colFields count="1">
    <field x="3"/>
  </colFields>
  <colItems count="2">
    <i>
      <x/>
    </i>
    <i>
      <x v="1"/>
    </i>
  </colItems>
  <dataFields count="1">
    <dataField name="Sum of Cost" fld="8" baseField="0" baseItem="0"/>
  </dataFields>
  <formats count="1">
    <format dxfId="10">
      <pivotArea collapsedLevelsAreSubtotals="1" fieldPosition="0">
        <references count="2">
          <reference field="1" count="1">
            <x v="1"/>
          </reference>
          <reference field="3" count="1" selected="0">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12:I17" firstHeaderRow="1" firstDataRow="2" firstDataCol="1"/>
  <pivotFields count="11">
    <pivotField showAll="0"/>
    <pivotField axis="axisRow"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showAll="0"/>
    <pivotField showAll="0"/>
    <pivotField dataField="1" showAll="0"/>
    <pivotField showAll="0"/>
    <pivotField showAll="0"/>
    <pivotField showAll="0"/>
  </pivotFields>
  <rowFields count="1">
    <field x="1"/>
  </rowFields>
  <rowItems count="4">
    <i>
      <x v="1"/>
    </i>
    <i>
      <x v="2"/>
    </i>
    <i>
      <x v="3"/>
    </i>
    <i>
      <x v="4"/>
    </i>
  </rowItems>
  <colFields count="1">
    <field x="3"/>
  </colFields>
  <colItems count="2">
    <i>
      <x/>
    </i>
    <i>
      <x v="1"/>
    </i>
  </colItems>
  <dataFields count="1">
    <dataField name="Sum of Quantity" fld="7" baseField="0" baseItem="0"/>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2:O18" firstHeaderRow="1" firstDataRow="2" firstDataCol="1"/>
  <pivotFields count="11">
    <pivotField showAll="0"/>
    <pivotField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axis="axisRow" showAll="0">
      <items count="9">
        <item x="6"/>
        <item x="1"/>
        <item x="0"/>
        <item x="3"/>
        <item x="4"/>
        <item x="2"/>
        <item x="7"/>
        <item x="5"/>
        <item t="default"/>
      </items>
    </pivotField>
    <pivotField showAll="0"/>
    <pivotField showAll="0"/>
    <pivotField showAll="0"/>
    <pivotField dataField="1" showAll="0"/>
    <pivotField showAll="0"/>
  </pivotFields>
  <rowFields count="1">
    <field x="5"/>
  </rowFields>
  <rowItems count="5">
    <i>
      <x/>
    </i>
    <i>
      <x v="2"/>
    </i>
    <i>
      <x v="4"/>
    </i>
    <i>
      <x v="7"/>
    </i>
    <i t="grand">
      <x/>
    </i>
  </rowItems>
  <colFields count="1">
    <field x="3"/>
  </colFields>
  <colItems count="3">
    <i>
      <x/>
    </i>
    <i>
      <x v="1"/>
    </i>
    <i t="grand">
      <x/>
    </i>
  </colItems>
  <dataFields count="1">
    <dataField name="Sum of Sales" fld="9" baseField="0" baseItem="0"/>
  </dataFields>
  <formats count="1">
    <format dxfId="11">
      <pivotArea collapsedLevelsAreSubtotals="1" fieldPosition="0">
        <references count="2">
          <reference field="3" count="1" selected="0">
            <x v="0"/>
          </reference>
          <reference field="5" count="1">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3:I8" firstHeaderRow="1" firstDataRow="2" firstDataCol="1"/>
  <pivotFields count="11">
    <pivotField showAll="0"/>
    <pivotField axis="axisRow" numFmtId="14" showAll="0">
      <items count="7">
        <item x="0"/>
        <item x="1"/>
        <item x="2"/>
        <item x="3"/>
        <item x="4"/>
        <item x="5"/>
        <item t="default"/>
      </items>
    </pivotField>
    <pivotField showAll="0"/>
    <pivotField axis="axisCol" showAll="0">
      <items count="3">
        <item x="1"/>
        <item x="0"/>
        <item t="default"/>
      </items>
    </pivotField>
    <pivotField showAll="0">
      <items count="4">
        <item x="0"/>
        <item h="1" x="1"/>
        <item h="1" x="2"/>
        <item t="default"/>
      </items>
    </pivotField>
    <pivotField showAll="0"/>
    <pivotField showAll="0"/>
    <pivotField showAll="0"/>
    <pivotField showAll="0"/>
    <pivotField dataField="1" showAll="0"/>
    <pivotField showAll="0"/>
  </pivotFields>
  <rowFields count="1">
    <field x="1"/>
  </rowFields>
  <rowItems count="4">
    <i>
      <x v="1"/>
    </i>
    <i>
      <x v="2"/>
    </i>
    <i>
      <x v="3"/>
    </i>
    <i>
      <x v="4"/>
    </i>
  </rowItems>
  <colFields count="1">
    <field x="3"/>
  </colFields>
  <colItems count="2">
    <i>
      <x/>
    </i>
    <i>
      <x v="1"/>
    </i>
  </colItems>
  <dataFields count="1">
    <dataField name="Sum of Sales" fld="9" baseField="0" baseItem="0"/>
  </dataFields>
  <formats count="1">
    <format dxfId="12">
      <pivotArea collapsedLevelsAreSubtotals="1" fieldPosition="0">
        <references count="2">
          <reference field="1" count="1">
            <x v="1"/>
          </reference>
          <reference field="3" count="1" selected="0">
            <x v="0"/>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2" unboundColumnsRight="1">
    <queryTableFields count="11">
      <queryTableField id="1" name="Order ID" tableColumnId="1"/>
      <queryTableField id="2" name="Date" tableColumnId="2"/>
      <queryTableField id="3" name="Month" tableColumnId="3"/>
      <queryTableField id="4" name="Year" tableColumnId="4"/>
      <queryTableField id="5" name="Category" tableColumnId="5"/>
      <queryTableField id="6" name="Product" tableColumnId="6"/>
      <queryTableField id="7" name="Branch" tableColumnId="7"/>
      <queryTableField id="8" name="Quantity" tableColumnId="8"/>
      <queryTableField id="9" name="Cost" tableColumnId="9"/>
      <queryTableField id="10" name="Sales"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15105C-04D0-426B-80EA-1E8911F8B570}" sourceName="Category">
  <pivotTables>
    <pivotTable tabId="5" name="PivotTable7"/>
    <pivotTable tabId="5" name="PivotTable1"/>
    <pivotTable tabId="5" name="PivotTable3"/>
    <pivotTable tabId="5" name="PivotTable4"/>
    <pivotTable tabId="5" name="PivotTable5"/>
    <pivotTable tabId="5" name="PivotTable6"/>
    <pivotTable tabId="5" name="PivotTable8"/>
    <pivotTable tabId="5" name="PivotTable9"/>
  </pivotTables>
  <data>
    <tabular pivotCacheId="164541816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02B7BCD-6EC2-4C71-B766-F868CCBE0311}" cache="Slicer_Category" caption="Category" columnCount="3"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K301" tableType="queryTable" totalsRowShown="0">
  <autoFilter ref="A1:K301" xr:uid="{00000000-0009-0000-0100-000002000000}"/>
  <tableColumns count="11">
    <tableColumn id="1" xr3:uid="{00000000-0010-0000-0000-000001000000}" uniqueName="1" name="Order ID" queryTableFieldId="1" dataDxfId="6"/>
    <tableColumn id="2" xr3:uid="{00000000-0010-0000-0000-000002000000}" uniqueName="2" name="Date" queryTableFieldId="2" dataDxfId="5"/>
    <tableColumn id="3" xr3:uid="{00000000-0010-0000-0000-000003000000}" uniqueName="3" name="Month" queryTableFieldId="3" dataDxfId="4"/>
    <tableColumn id="4" xr3:uid="{00000000-0010-0000-0000-000004000000}" uniqueName="4" name="Year" queryTableFieldId="4"/>
    <tableColumn id="5" xr3:uid="{00000000-0010-0000-0000-000005000000}" uniqueName="5" name="Category" queryTableFieldId="5" dataDxfId="3"/>
    <tableColumn id="6" xr3:uid="{00000000-0010-0000-0000-000006000000}" uniqueName="6" name="Product" queryTableFieldId="6" dataDxfId="2"/>
    <tableColumn id="7" xr3:uid="{00000000-0010-0000-0000-000007000000}" uniqueName="7" name="Branch" queryTableFieldId="7" dataDxfId="1"/>
    <tableColumn id="8" xr3:uid="{00000000-0010-0000-0000-000008000000}" uniqueName="8" name="Quantity" queryTableFieldId="8"/>
    <tableColumn id="9" xr3:uid="{00000000-0010-0000-0000-000009000000}" uniqueName="9" name="Cost" queryTableFieldId="9"/>
    <tableColumn id="10" xr3:uid="{00000000-0010-0000-0000-00000A000000}" uniqueName="10" name="Sales" queryTableFieldId="10"/>
    <tableColumn id="11" xr3:uid="{00000000-0010-0000-0000-00000B000000}" uniqueName="11" name="Profit" queryTableFieldId="11" dataDxfId="0">
      <calculatedColumnFormula>Table1_2[[#This Row],[Sales]]-Table1_2[[#This Row],[Cost]]</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60" zoomScaleNormal="60" workbookViewId="0"/>
  </sheetViews>
  <sheetFormatPr defaultRowHeight="14.5" x14ac:dyDescent="0.35"/>
  <cols>
    <col min="1" max="1" width="14" bestFit="1" customWidth="1"/>
    <col min="2" max="2" width="16.7265625" bestFit="1" customWidth="1"/>
    <col min="3" max="3" width="7.36328125" bestFit="1" customWidth="1"/>
    <col min="4" max="4" width="10.7265625" bestFit="1" customWidth="1"/>
    <col min="5" max="5" width="14.6328125" bestFit="1" customWidth="1"/>
    <col min="7" max="7" width="14" bestFit="1" customWidth="1"/>
    <col min="8" max="8" width="16.7265625" bestFit="1" customWidth="1"/>
    <col min="9" max="9" width="6.26953125" bestFit="1" customWidth="1"/>
    <col min="10" max="10" width="10.7265625" bestFit="1" customWidth="1"/>
    <col min="12" max="12" width="14" bestFit="1" customWidth="1"/>
    <col min="13" max="13" width="16.7265625" bestFit="1" customWidth="1"/>
    <col min="14" max="14" width="7.36328125" bestFit="1" customWidth="1"/>
    <col min="15" max="15" width="10.7265625" bestFit="1" customWidth="1"/>
    <col min="17" max="17" width="14" bestFit="1" customWidth="1"/>
    <col min="18" max="18" width="16.7265625" bestFit="1" customWidth="1"/>
    <col min="19" max="19" width="7.36328125" bestFit="1" customWidth="1"/>
    <col min="20" max="20" width="10.7265625" bestFit="1" customWidth="1"/>
  </cols>
  <sheetData>
    <row r="1" spans="1:20" x14ac:dyDescent="0.35">
      <c r="A1" s="3" t="s">
        <v>337</v>
      </c>
      <c r="B1" t="s">
        <v>343</v>
      </c>
      <c r="C1" t="s">
        <v>341</v>
      </c>
      <c r="D1" t="s">
        <v>340</v>
      </c>
      <c r="E1" t="s">
        <v>339</v>
      </c>
    </row>
    <row r="2" spans="1:20" x14ac:dyDescent="0.35">
      <c r="A2" s="4">
        <v>2024</v>
      </c>
      <c r="B2" s="2">
        <v>126300</v>
      </c>
      <c r="C2" s="2">
        <v>185200</v>
      </c>
      <c r="D2" s="2">
        <v>58900</v>
      </c>
      <c r="E2" s="2">
        <v>145</v>
      </c>
      <c r="G2" s="10" t="s">
        <v>348</v>
      </c>
      <c r="H2" s="11"/>
      <c r="I2" s="11"/>
      <c r="L2" s="10" t="s">
        <v>351</v>
      </c>
      <c r="M2" s="11"/>
      <c r="N2" s="11"/>
      <c r="Q2" s="10" t="s">
        <v>360</v>
      </c>
      <c r="R2" s="11"/>
      <c r="S2" s="11"/>
    </row>
    <row r="3" spans="1:20" x14ac:dyDescent="0.35">
      <c r="A3" s="4">
        <v>2025</v>
      </c>
      <c r="B3" s="2">
        <v>212800</v>
      </c>
      <c r="C3" s="2">
        <v>293200</v>
      </c>
      <c r="D3" s="2">
        <v>80400</v>
      </c>
      <c r="E3" s="2">
        <v>221</v>
      </c>
      <c r="G3" s="3" t="s">
        <v>341</v>
      </c>
      <c r="H3" s="3" t="s">
        <v>353</v>
      </c>
      <c r="L3" s="3" t="s">
        <v>343</v>
      </c>
      <c r="M3" s="3" t="s">
        <v>353</v>
      </c>
      <c r="Q3" s="3" t="s">
        <v>341</v>
      </c>
      <c r="R3" s="3" t="s">
        <v>353</v>
      </c>
    </row>
    <row r="4" spans="1:20" x14ac:dyDescent="0.35">
      <c r="A4" s="4" t="s">
        <v>338</v>
      </c>
      <c r="B4" s="2">
        <v>339100</v>
      </c>
      <c r="C4" s="2">
        <v>478400</v>
      </c>
      <c r="D4" s="2">
        <v>139300</v>
      </c>
      <c r="E4" s="2">
        <v>366</v>
      </c>
      <c r="G4" s="3" t="s">
        <v>337</v>
      </c>
      <c r="H4">
        <v>2024</v>
      </c>
      <c r="I4">
        <v>2025</v>
      </c>
      <c r="L4" s="3" t="s">
        <v>337</v>
      </c>
      <c r="M4">
        <v>2024</v>
      </c>
      <c r="N4">
        <v>2025</v>
      </c>
      <c r="Q4" s="3" t="s">
        <v>337</v>
      </c>
      <c r="R4">
        <v>2024</v>
      </c>
      <c r="S4">
        <v>2025</v>
      </c>
      <c r="T4" t="s">
        <v>338</v>
      </c>
    </row>
    <row r="5" spans="1:20" x14ac:dyDescent="0.35">
      <c r="G5" s="6" t="s">
        <v>354</v>
      </c>
      <c r="H5" s="7">
        <v>17500</v>
      </c>
      <c r="I5" s="2">
        <v>66200</v>
      </c>
      <c r="L5" s="6" t="s">
        <v>354</v>
      </c>
      <c r="M5" s="7">
        <v>12000</v>
      </c>
      <c r="N5" s="2">
        <v>48700</v>
      </c>
      <c r="Q5" s="4" t="s">
        <v>11</v>
      </c>
      <c r="R5" s="7">
        <v>45900</v>
      </c>
      <c r="S5" s="2">
        <v>58900</v>
      </c>
      <c r="T5" s="2">
        <v>104800</v>
      </c>
    </row>
    <row r="6" spans="1:20" x14ac:dyDescent="0.35">
      <c r="B6" s="10" t="s">
        <v>344</v>
      </c>
      <c r="C6" s="11"/>
      <c r="D6" s="11"/>
      <c r="G6" s="6" t="s">
        <v>355</v>
      </c>
      <c r="H6" s="2">
        <v>46900</v>
      </c>
      <c r="I6" s="2">
        <v>64300</v>
      </c>
      <c r="L6" s="6" t="s">
        <v>355</v>
      </c>
      <c r="M6" s="2">
        <v>32000</v>
      </c>
      <c r="N6" s="2">
        <v>48800</v>
      </c>
      <c r="Q6" s="4" t="s">
        <v>33</v>
      </c>
      <c r="R6" s="2">
        <v>64600</v>
      </c>
      <c r="S6" s="2">
        <v>96400</v>
      </c>
      <c r="T6" s="2">
        <v>161000</v>
      </c>
    </row>
    <row r="7" spans="1:20" x14ac:dyDescent="0.35">
      <c r="B7" t="s">
        <v>345</v>
      </c>
      <c r="C7" t="s">
        <v>346</v>
      </c>
      <c r="D7" t="s">
        <v>347</v>
      </c>
      <c r="G7" s="6" t="s">
        <v>356</v>
      </c>
      <c r="H7" s="2">
        <v>88400</v>
      </c>
      <c r="I7" s="2">
        <v>64800</v>
      </c>
      <c r="L7" s="6" t="s">
        <v>356</v>
      </c>
      <c r="M7" s="2">
        <v>65000</v>
      </c>
      <c r="N7" s="2">
        <v>44600</v>
      </c>
      <c r="Q7" s="4" t="s">
        <v>19</v>
      </c>
      <c r="R7" s="2">
        <v>18400</v>
      </c>
      <c r="S7" s="2">
        <v>77700</v>
      </c>
      <c r="T7" s="2">
        <v>96100</v>
      </c>
    </row>
    <row r="8" spans="1:20" x14ac:dyDescent="0.35">
      <c r="A8" t="s">
        <v>348</v>
      </c>
      <c r="B8" s="7">
        <f>GETPIVOTDATA("Sum of Sales",$A$1,"Year",2025)</f>
        <v>293200</v>
      </c>
      <c r="C8" s="7">
        <f>GETPIVOTDATA("Sum of Sales",$A$1,"Year",2024)</f>
        <v>185200</v>
      </c>
      <c r="D8" s="5">
        <f>(B8-C8)/C8</f>
        <v>0.58315334773218142</v>
      </c>
      <c r="E8" t="str">
        <f>IF(D8&gt;0,"▲","▼")&amp;TEXT(ABS(D8),"0%")&amp;"VsLY"</f>
        <v>▲58%VsLY</v>
      </c>
      <c r="G8" s="6" t="s">
        <v>357</v>
      </c>
      <c r="H8" s="2">
        <v>32400</v>
      </c>
      <c r="I8" s="2">
        <v>97900</v>
      </c>
      <c r="L8" s="6" t="s">
        <v>357</v>
      </c>
      <c r="M8" s="2">
        <v>17300</v>
      </c>
      <c r="N8" s="2">
        <v>70700</v>
      </c>
      <c r="Q8" s="4" t="s">
        <v>15</v>
      </c>
      <c r="R8" s="2">
        <v>56300</v>
      </c>
      <c r="S8" s="2">
        <v>60200</v>
      </c>
      <c r="T8" s="2">
        <v>116500</v>
      </c>
    </row>
    <row r="9" spans="1:20" x14ac:dyDescent="0.35">
      <c r="A9" t="s">
        <v>349</v>
      </c>
      <c r="B9" s="2">
        <f>GETPIVOTDATA("Sum of Quantity",$A$1,"Year",2025)</f>
        <v>221</v>
      </c>
      <c r="C9" s="7">
        <f>GETPIVOTDATA("Sum of Quantity",$A$1,"Year",2024)</f>
        <v>145</v>
      </c>
      <c r="D9" s="5">
        <f t="shared" ref="D9:D11" si="0">(B9-C9)/C9</f>
        <v>0.52413793103448281</v>
      </c>
      <c r="E9" t="str">
        <f t="shared" ref="E9:E11" si="1">IF(D9&gt;0,"▲","▼")&amp;TEXT(ABS(D9),"0%")&amp;"VsLY"</f>
        <v>▲52%VsLY</v>
      </c>
      <c r="Q9" s="4" t="s">
        <v>338</v>
      </c>
      <c r="R9" s="2">
        <v>185200</v>
      </c>
      <c r="S9" s="2">
        <v>293200</v>
      </c>
      <c r="T9" s="2">
        <v>478400</v>
      </c>
    </row>
    <row r="10" spans="1:20" x14ac:dyDescent="0.35">
      <c r="A10" t="s">
        <v>350</v>
      </c>
      <c r="B10" s="7">
        <f>GETPIVOTDATA("Sum of Cost",$A$1,"Year",2025)</f>
        <v>80400</v>
      </c>
      <c r="C10" s="7">
        <f>GETPIVOTDATA("Sum of Cost",$A$1,"Year",2024)</f>
        <v>58900</v>
      </c>
      <c r="D10" s="5">
        <f t="shared" si="0"/>
        <v>0.36502546689303905</v>
      </c>
      <c r="E10" t="str">
        <f t="shared" si="1"/>
        <v>▲37%VsLY</v>
      </c>
    </row>
    <row r="11" spans="1:20" x14ac:dyDescent="0.35">
      <c r="A11" t="s">
        <v>351</v>
      </c>
      <c r="B11" s="7">
        <f>GETPIVOTDATA("Sum of Profit",$A$1,"Year",2025)</f>
        <v>212800</v>
      </c>
      <c r="C11" s="7">
        <f>GETPIVOTDATA("Sum of Profit",$A$1,"Year",2024)</f>
        <v>126300</v>
      </c>
      <c r="D11" s="5">
        <f t="shared" si="0"/>
        <v>0.68487727632620743</v>
      </c>
      <c r="E11" t="str">
        <f t="shared" si="1"/>
        <v>▲68%VsLY</v>
      </c>
      <c r="G11" s="10" t="s">
        <v>358</v>
      </c>
      <c r="H11" s="11"/>
      <c r="I11" s="11"/>
      <c r="L11" s="10" t="s">
        <v>359</v>
      </c>
      <c r="M11" s="11"/>
      <c r="N11" s="11"/>
    </row>
    <row r="12" spans="1:20" x14ac:dyDescent="0.35">
      <c r="G12" s="3" t="s">
        <v>339</v>
      </c>
      <c r="H12" s="3" t="s">
        <v>353</v>
      </c>
      <c r="L12" s="3" t="s">
        <v>341</v>
      </c>
      <c r="M12" s="3" t="s">
        <v>353</v>
      </c>
    </row>
    <row r="13" spans="1:20" x14ac:dyDescent="0.35">
      <c r="G13" s="3" t="s">
        <v>337</v>
      </c>
      <c r="H13">
        <v>2024</v>
      </c>
      <c r="I13">
        <v>2025</v>
      </c>
      <c r="L13" s="3" t="s">
        <v>337</v>
      </c>
      <c r="M13">
        <v>2024</v>
      </c>
      <c r="N13">
        <v>2025</v>
      </c>
      <c r="O13" t="s">
        <v>338</v>
      </c>
    </row>
    <row r="14" spans="1:20" x14ac:dyDescent="0.35">
      <c r="A14" s="10" t="s">
        <v>352</v>
      </c>
      <c r="B14" s="11"/>
      <c r="C14" s="11"/>
      <c r="G14" s="6" t="s">
        <v>354</v>
      </c>
      <c r="H14" s="2">
        <v>21</v>
      </c>
      <c r="I14" s="2">
        <v>50</v>
      </c>
      <c r="L14" s="4" t="s">
        <v>35</v>
      </c>
      <c r="M14" s="7">
        <v>15400</v>
      </c>
      <c r="N14" s="2">
        <v>19600</v>
      </c>
      <c r="O14" s="2">
        <v>35000</v>
      </c>
    </row>
    <row r="15" spans="1:20" x14ac:dyDescent="0.35">
      <c r="A15" s="3" t="s">
        <v>341</v>
      </c>
      <c r="B15" s="3" t="s">
        <v>353</v>
      </c>
      <c r="G15" s="6" t="s">
        <v>355</v>
      </c>
      <c r="H15" s="2">
        <v>41</v>
      </c>
      <c r="I15" s="2">
        <v>41</v>
      </c>
      <c r="L15" s="4" t="s">
        <v>10</v>
      </c>
      <c r="M15" s="2">
        <v>18500</v>
      </c>
      <c r="N15" s="2">
        <v>35000</v>
      </c>
      <c r="O15" s="2">
        <v>53500</v>
      </c>
    </row>
    <row r="16" spans="1:20" x14ac:dyDescent="0.35">
      <c r="A16" s="3" t="s">
        <v>337</v>
      </c>
      <c r="B16">
        <v>2024</v>
      </c>
      <c r="C16">
        <v>2025</v>
      </c>
      <c r="D16" t="s">
        <v>338</v>
      </c>
      <c r="G16" s="6" t="s">
        <v>356</v>
      </c>
      <c r="H16" s="2">
        <v>58</v>
      </c>
      <c r="I16" s="2">
        <v>46</v>
      </c>
      <c r="L16" s="4" t="s">
        <v>27</v>
      </c>
      <c r="M16" s="2">
        <v>92500</v>
      </c>
      <c r="N16" s="2">
        <v>175000</v>
      </c>
      <c r="O16" s="2">
        <v>267500</v>
      </c>
    </row>
    <row r="17" spans="1:15" x14ac:dyDescent="0.35">
      <c r="A17" s="4" t="s">
        <v>327</v>
      </c>
      <c r="B17" s="7">
        <v>4800</v>
      </c>
      <c r="C17" s="7">
        <v>31100</v>
      </c>
      <c r="D17" s="7">
        <v>35900</v>
      </c>
      <c r="G17" s="6" t="s">
        <v>357</v>
      </c>
      <c r="H17" s="2">
        <v>25</v>
      </c>
      <c r="I17" s="2">
        <v>84</v>
      </c>
      <c r="L17" s="4" t="s">
        <v>29</v>
      </c>
      <c r="M17" s="2">
        <v>58800</v>
      </c>
      <c r="N17" s="2">
        <v>63600</v>
      </c>
      <c r="O17" s="2">
        <v>122400</v>
      </c>
    </row>
    <row r="18" spans="1:15" x14ac:dyDescent="0.35">
      <c r="A18" s="4" t="s">
        <v>334</v>
      </c>
      <c r="B18" s="7">
        <v>7200</v>
      </c>
      <c r="C18" s="7">
        <v>12700</v>
      </c>
      <c r="D18" s="7">
        <v>19900</v>
      </c>
      <c r="L18" s="4" t="s">
        <v>338</v>
      </c>
      <c r="M18" s="2">
        <v>185200</v>
      </c>
      <c r="N18" s="2">
        <v>293200</v>
      </c>
      <c r="O18" s="2">
        <v>478400</v>
      </c>
    </row>
    <row r="19" spans="1:15" x14ac:dyDescent="0.35">
      <c r="A19" s="4" t="s">
        <v>333</v>
      </c>
      <c r="B19" s="2">
        <v>5500</v>
      </c>
      <c r="C19" s="2">
        <v>22400</v>
      </c>
      <c r="D19" s="2">
        <v>27900</v>
      </c>
    </row>
    <row r="20" spans="1:15" x14ac:dyDescent="0.35">
      <c r="A20" s="4" t="s">
        <v>326</v>
      </c>
      <c r="B20" s="2">
        <v>24100</v>
      </c>
      <c r="C20" s="2">
        <v>7400</v>
      </c>
      <c r="D20" s="2">
        <v>31500</v>
      </c>
      <c r="G20" s="10" t="s">
        <v>350</v>
      </c>
      <c r="H20" s="11"/>
      <c r="I20" s="11"/>
    </row>
    <row r="21" spans="1:15" x14ac:dyDescent="0.35">
      <c r="A21" s="4" t="s">
        <v>330</v>
      </c>
      <c r="B21" s="2">
        <v>16300</v>
      </c>
      <c r="C21" s="2">
        <v>54500</v>
      </c>
      <c r="D21" s="2">
        <v>70800</v>
      </c>
      <c r="G21" s="3" t="s">
        <v>340</v>
      </c>
      <c r="H21" s="3" t="s">
        <v>353</v>
      </c>
    </row>
    <row r="22" spans="1:15" x14ac:dyDescent="0.35">
      <c r="A22" s="4" t="s">
        <v>335</v>
      </c>
      <c r="B22" s="2">
        <v>6500</v>
      </c>
      <c r="C22" s="2">
        <v>2400</v>
      </c>
      <c r="D22" s="2">
        <v>8900</v>
      </c>
      <c r="G22" s="3" t="s">
        <v>337</v>
      </c>
      <c r="H22">
        <v>2024</v>
      </c>
      <c r="I22">
        <v>2025</v>
      </c>
    </row>
    <row r="23" spans="1:15" x14ac:dyDescent="0.35">
      <c r="A23" s="4" t="s">
        <v>332</v>
      </c>
      <c r="B23" s="2">
        <v>7200</v>
      </c>
      <c r="C23" s="2">
        <v>20100</v>
      </c>
      <c r="D23" s="2">
        <v>27300</v>
      </c>
      <c r="G23" s="6" t="s">
        <v>354</v>
      </c>
      <c r="H23" s="7">
        <v>5500</v>
      </c>
      <c r="I23" s="2">
        <v>17500</v>
      </c>
    </row>
    <row r="24" spans="1:15" x14ac:dyDescent="0.35">
      <c r="A24" s="4" t="s">
        <v>329</v>
      </c>
      <c r="B24" s="2">
        <v>64200</v>
      </c>
      <c r="C24" s="2">
        <v>18600</v>
      </c>
      <c r="D24" s="2">
        <v>82800</v>
      </c>
      <c r="G24" s="6" t="s">
        <v>355</v>
      </c>
      <c r="H24" s="2">
        <v>14900</v>
      </c>
      <c r="I24" s="2">
        <v>15500</v>
      </c>
    </row>
    <row r="25" spans="1:15" x14ac:dyDescent="0.35">
      <c r="A25" s="4" t="s">
        <v>328</v>
      </c>
      <c r="B25" s="2">
        <v>17000</v>
      </c>
      <c r="C25" s="2">
        <v>26100</v>
      </c>
      <c r="D25" s="2">
        <v>43100</v>
      </c>
      <c r="G25" s="6" t="s">
        <v>356</v>
      </c>
      <c r="H25" s="2">
        <v>23400</v>
      </c>
      <c r="I25" s="2">
        <v>20200</v>
      </c>
    </row>
    <row r="26" spans="1:15" x14ac:dyDescent="0.35">
      <c r="A26" s="4" t="s">
        <v>325</v>
      </c>
      <c r="B26" s="2">
        <v>8500</v>
      </c>
      <c r="C26" s="2">
        <v>43400</v>
      </c>
      <c r="D26" s="2">
        <v>51900</v>
      </c>
      <c r="G26" s="6" t="s">
        <v>357</v>
      </c>
      <c r="H26" s="2">
        <v>15100</v>
      </c>
      <c r="I26" s="2">
        <v>27200</v>
      </c>
    </row>
    <row r="27" spans="1:15" x14ac:dyDescent="0.35">
      <c r="A27" s="4" t="s">
        <v>331</v>
      </c>
      <c r="B27" s="2">
        <v>16500</v>
      </c>
      <c r="C27" s="2">
        <v>31700</v>
      </c>
      <c r="D27" s="2">
        <v>48200</v>
      </c>
    </row>
    <row r="28" spans="1:15" x14ac:dyDescent="0.35">
      <c r="A28" s="4" t="s">
        <v>336</v>
      </c>
      <c r="B28" s="2">
        <v>7400</v>
      </c>
      <c r="C28" s="2">
        <v>22800</v>
      </c>
      <c r="D28" s="2">
        <v>30200</v>
      </c>
    </row>
    <row r="29" spans="1:15" x14ac:dyDescent="0.35">
      <c r="A29" s="4" t="s">
        <v>338</v>
      </c>
      <c r="B29" s="2">
        <v>185200</v>
      </c>
      <c r="C29" s="2">
        <v>293200</v>
      </c>
      <c r="D29" s="2">
        <v>478400</v>
      </c>
      <c r="H29" s="8">
        <f ca="1">TODAY()</f>
        <v>46037</v>
      </c>
    </row>
  </sheetData>
  <mergeCells count="8">
    <mergeCell ref="G20:I20"/>
    <mergeCell ref="L2:N2"/>
    <mergeCell ref="L11:N11"/>
    <mergeCell ref="Q2:S2"/>
    <mergeCell ref="B6:D6"/>
    <mergeCell ref="A14:C14"/>
    <mergeCell ref="G2:I2"/>
    <mergeCell ref="G11:I11"/>
  </mergeCells>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1"/>
  <sheetViews>
    <sheetView tabSelected="1" workbookViewId="0">
      <selection sqref="A1:K1"/>
    </sheetView>
  </sheetViews>
  <sheetFormatPr defaultRowHeight="14.5" x14ac:dyDescent="0.35"/>
  <cols>
    <col min="1" max="1" width="10.26953125" bestFit="1" customWidth="1"/>
    <col min="2" max="2" width="10.453125" bestFit="1" customWidth="1"/>
    <col min="3" max="3" width="8.81640625" bestFit="1" customWidth="1"/>
    <col min="4" max="4" width="6.81640625" bestFit="1" customWidth="1"/>
    <col min="5" max="5" width="10.54296875" bestFit="1" customWidth="1"/>
    <col min="6" max="6" width="12" bestFit="1" customWidth="1"/>
    <col min="7" max="7" width="12.54296875" bestFit="1" customWidth="1"/>
    <col min="8" max="8" width="10.453125" bestFit="1" customWidth="1"/>
    <col min="9" max="9" width="6.81640625" bestFit="1" customWidth="1"/>
    <col min="10" max="10" width="7.26953125" bestFit="1" customWidth="1"/>
  </cols>
  <sheetData>
    <row r="1" spans="1:11" x14ac:dyDescent="0.35">
      <c r="A1" t="s">
        <v>0</v>
      </c>
      <c r="B1" t="s">
        <v>1</v>
      </c>
      <c r="C1" t="s">
        <v>323</v>
      </c>
      <c r="D1" t="s">
        <v>324</v>
      </c>
      <c r="E1" t="s">
        <v>2</v>
      </c>
      <c r="F1" t="s">
        <v>3</v>
      </c>
      <c r="G1" t="s">
        <v>4</v>
      </c>
      <c r="H1" t="s">
        <v>5</v>
      </c>
      <c r="I1" t="s">
        <v>6</v>
      </c>
      <c r="J1" t="s">
        <v>7</v>
      </c>
      <c r="K1" t="s">
        <v>342</v>
      </c>
    </row>
    <row r="2" spans="1:11" x14ac:dyDescent="0.35">
      <c r="A2" s="2" t="s">
        <v>8</v>
      </c>
      <c r="B2" s="1">
        <v>45946</v>
      </c>
      <c r="C2" s="2" t="s">
        <v>325</v>
      </c>
      <c r="D2">
        <v>2025</v>
      </c>
      <c r="E2" s="2" t="s">
        <v>9</v>
      </c>
      <c r="F2" s="2" t="s">
        <v>10</v>
      </c>
      <c r="G2" s="2" t="s">
        <v>11</v>
      </c>
      <c r="H2">
        <v>8</v>
      </c>
      <c r="I2">
        <v>500</v>
      </c>
      <c r="J2">
        <v>4000</v>
      </c>
      <c r="K2">
        <f>Table1_2[[#This Row],[Sales]]-Table1_2[[#This Row],[Cost]]</f>
        <v>3500</v>
      </c>
    </row>
    <row r="3" spans="1:11" x14ac:dyDescent="0.35">
      <c r="A3" s="2" t="s">
        <v>12</v>
      </c>
      <c r="B3" s="1">
        <v>45406</v>
      </c>
      <c r="C3" s="2" t="s">
        <v>326</v>
      </c>
      <c r="D3">
        <v>2024</v>
      </c>
      <c r="E3" s="2" t="s">
        <v>13</v>
      </c>
      <c r="F3" s="2" t="s">
        <v>14</v>
      </c>
      <c r="G3" s="2" t="s">
        <v>15</v>
      </c>
      <c r="H3">
        <v>2</v>
      </c>
      <c r="I3">
        <v>2000</v>
      </c>
      <c r="J3">
        <v>4000</v>
      </c>
      <c r="K3">
        <f>Table1_2[[#This Row],[Sales]]-Table1_2[[#This Row],[Cost]]</f>
        <v>2000</v>
      </c>
    </row>
    <row r="4" spans="1:11" x14ac:dyDescent="0.35">
      <c r="A4" s="2" t="s">
        <v>16</v>
      </c>
      <c r="B4" s="1">
        <v>45317</v>
      </c>
      <c r="C4" s="2" t="s">
        <v>327</v>
      </c>
      <c r="D4">
        <v>2024</v>
      </c>
      <c r="E4" s="2" t="s">
        <v>17</v>
      </c>
      <c r="F4" s="2" t="s">
        <v>18</v>
      </c>
      <c r="G4" s="2" t="s">
        <v>19</v>
      </c>
      <c r="H4">
        <v>2</v>
      </c>
      <c r="I4">
        <v>1200</v>
      </c>
      <c r="J4">
        <v>2400</v>
      </c>
      <c r="K4">
        <f>Table1_2[[#This Row],[Sales]]-Table1_2[[#This Row],[Cost]]</f>
        <v>1200</v>
      </c>
    </row>
    <row r="5" spans="1:11" x14ac:dyDescent="0.35">
      <c r="A5" s="2" t="s">
        <v>20</v>
      </c>
      <c r="B5" s="1">
        <v>45573</v>
      </c>
      <c r="C5" s="2" t="s">
        <v>325</v>
      </c>
      <c r="D5">
        <v>2024</v>
      </c>
      <c r="E5" s="2" t="s">
        <v>13</v>
      </c>
      <c r="F5" s="2" t="s">
        <v>21</v>
      </c>
      <c r="G5" s="2" t="s">
        <v>11</v>
      </c>
      <c r="H5">
        <v>3</v>
      </c>
      <c r="I5">
        <v>1500</v>
      </c>
      <c r="J5">
        <v>4500</v>
      </c>
      <c r="K5">
        <f>Table1_2[[#This Row],[Sales]]-Table1_2[[#This Row],[Cost]]</f>
        <v>3000</v>
      </c>
    </row>
    <row r="6" spans="1:11" x14ac:dyDescent="0.35">
      <c r="A6" s="2" t="s">
        <v>22</v>
      </c>
      <c r="B6" s="1">
        <v>45542</v>
      </c>
      <c r="C6" s="2" t="s">
        <v>328</v>
      </c>
      <c r="D6">
        <v>2024</v>
      </c>
      <c r="E6" s="2" t="s">
        <v>17</v>
      </c>
      <c r="F6" s="2" t="s">
        <v>18</v>
      </c>
      <c r="G6" s="2" t="s">
        <v>15</v>
      </c>
      <c r="H6">
        <v>1</v>
      </c>
      <c r="I6">
        <v>1200</v>
      </c>
      <c r="J6">
        <v>1200</v>
      </c>
      <c r="K6">
        <f>Table1_2[[#This Row],[Sales]]-Table1_2[[#This Row],[Cost]]</f>
        <v>0</v>
      </c>
    </row>
    <row r="7" spans="1:11" x14ac:dyDescent="0.35">
      <c r="A7" s="2" t="s">
        <v>23</v>
      </c>
      <c r="B7" s="1">
        <v>45520</v>
      </c>
      <c r="C7" s="2" t="s">
        <v>329</v>
      </c>
      <c r="D7">
        <v>2024</v>
      </c>
      <c r="E7" s="2" t="s">
        <v>9</v>
      </c>
      <c r="F7" s="2" t="s">
        <v>10</v>
      </c>
      <c r="G7" s="2" t="s">
        <v>19</v>
      </c>
      <c r="H7">
        <v>1</v>
      </c>
      <c r="I7">
        <v>500</v>
      </c>
      <c r="J7">
        <v>500</v>
      </c>
      <c r="K7">
        <f>Table1_2[[#This Row],[Sales]]-Table1_2[[#This Row],[Cost]]</f>
        <v>0</v>
      </c>
    </row>
    <row r="8" spans="1:11" x14ac:dyDescent="0.35">
      <c r="A8" s="2" t="s">
        <v>24</v>
      </c>
      <c r="B8" s="1">
        <v>45434</v>
      </c>
      <c r="C8" s="2" t="s">
        <v>330</v>
      </c>
      <c r="D8">
        <v>2024</v>
      </c>
      <c r="E8" s="2" t="s">
        <v>17</v>
      </c>
      <c r="F8" s="2" t="s">
        <v>18</v>
      </c>
      <c r="G8" s="2" t="s">
        <v>19</v>
      </c>
      <c r="H8">
        <v>1</v>
      </c>
      <c r="I8">
        <v>1200</v>
      </c>
      <c r="J8">
        <v>1200</v>
      </c>
      <c r="K8">
        <f>Table1_2[[#This Row],[Sales]]-Table1_2[[#This Row],[Cost]]</f>
        <v>0</v>
      </c>
    </row>
    <row r="9" spans="1:11" x14ac:dyDescent="0.35">
      <c r="A9" s="2" t="s">
        <v>25</v>
      </c>
      <c r="B9" s="1">
        <v>45396</v>
      </c>
      <c r="C9" s="2" t="s">
        <v>326</v>
      </c>
      <c r="D9">
        <v>2024</v>
      </c>
      <c r="E9" s="2" t="s">
        <v>17</v>
      </c>
      <c r="F9" s="2" t="s">
        <v>18</v>
      </c>
      <c r="G9" s="2" t="s">
        <v>19</v>
      </c>
      <c r="H9">
        <v>4</v>
      </c>
      <c r="I9">
        <v>1200</v>
      </c>
      <c r="J9">
        <v>4800</v>
      </c>
      <c r="K9">
        <f>Table1_2[[#This Row],[Sales]]-Table1_2[[#This Row],[Cost]]</f>
        <v>3600</v>
      </c>
    </row>
    <row r="10" spans="1:11" x14ac:dyDescent="0.35">
      <c r="A10" s="2" t="s">
        <v>26</v>
      </c>
      <c r="B10" s="1">
        <v>45984</v>
      </c>
      <c r="C10" s="2" t="s">
        <v>331</v>
      </c>
      <c r="D10">
        <v>2025</v>
      </c>
      <c r="E10" s="2" t="s">
        <v>9</v>
      </c>
      <c r="F10" s="2" t="s">
        <v>27</v>
      </c>
      <c r="G10" s="2" t="s">
        <v>11</v>
      </c>
      <c r="H10">
        <v>2</v>
      </c>
      <c r="I10">
        <v>2500</v>
      </c>
      <c r="J10">
        <v>5000</v>
      </c>
      <c r="K10">
        <f>Table1_2[[#This Row],[Sales]]-Table1_2[[#This Row],[Cost]]</f>
        <v>2500</v>
      </c>
    </row>
    <row r="11" spans="1:11" x14ac:dyDescent="0.35">
      <c r="A11" s="2" t="s">
        <v>28</v>
      </c>
      <c r="B11" s="1">
        <v>45850</v>
      </c>
      <c r="C11" s="2" t="s">
        <v>332</v>
      </c>
      <c r="D11">
        <v>2025</v>
      </c>
      <c r="E11" s="2" t="s">
        <v>9</v>
      </c>
      <c r="F11" s="2" t="s">
        <v>29</v>
      </c>
      <c r="G11" s="2" t="s">
        <v>15</v>
      </c>
      <c r="H11">
        <v>3</v>
      </c>
      <c r="I11">
        <v>1200</v>
      </c>
      <c r="J11">
        <v>3600</v>
      </c>
      <c r="K11">
        <f>Table1_2[[#This Row],[Sales]]-Table1_2[[#This Row],[Cost]]</f>
        <v>2400</v>
      </c>
    </row>
    <row r="12" spans="1:11" x14ac:dyDescent="0.35">
      <c r="A12" s="2" t="s">
        <v>30</v>
      </c>
      <c r="B12" s="1">
        <v>45381</v>
      </c>
      <c r="C12" s="2" t="s">
        <v>333</v>
      </c>
      <c r="D12">
        <v>2024</v>
      </c>
      <c r="E12" s="2" t="s">
        <v>9</v>
      </c>
      <c r="F12" s="2" t="s">
        <v>10</v>
      </c>
      <c r="G12" s="2" t="s">
        <v>15</v>
      </c>
      <c r="H12">
        <v>4</v>
      </c>
      <c r="I12">
        <v>500</v>
      </c>
      <c r="J12">
        <v>2000</v>
      </c>
      <c r="K12">
        <f>Table1_2[[#This Row],[Sales]]-Table1_2[[#This Row],[Cost]]</f>
        <v>1500</v>
      </c>
    </row>
    <row r="13" spans="1:11" x14ac:dyDescent="0.35">
      <c r="A13" s="2" t="s">
        <v>31</v>
      </c>
      <c r="B13" s="1">
        <v>45896</v>
      </c>
      <c r="C13" s="2" t="s">
        <v>329</v>
      </c>
      <c r="D13">
        <v>2025</v>
      </c>
      <c r="E13" s="2" t="s">
        <v>13</v>
      </c>
      <c r="F13" s="2" t="s">
        <v>14</v>
      </c>
      <c r="G13" s="2" t="s">
        <v>19</v>
      </c>
      <c r="H13">
        <v>2</v>
      </c>
      <c r="I13">
        <v>2000</v>
      </c>
      <c r="J13">
        <v>4000</v>
      </c>
      <c r="K13">
        <f>Table1_2[[#This Row],[Sales]]-Table1_2[[#This Row],[Cost]]</f>
        <v>2000</v>
      </c>
    </row>
    <row r="14" spans="1:11" x14ac:dyDescent="0.35">
      <c r="A14" s="2" t="s">
        <v>32</v>
      </c>
      <c r="B14" s="1">
        <v>45724</v>
      </c>
      <c r="C14" s="2" t="s">
        <v>333</v>
      </c>
      <c r="D14">
        <v>2025</v>
      </c>
      <c r="E14" s="2" t="s">
        <v>17</v>
      </c>
      <c r="F14" s="2" t="s">
        <v>18</v>
      </c>
      <c r="G14" s="2" t="s">
        <v>33</v>
      </c>
      <c r="H14">
        <v>2</v>
      </c>
      <c r="I14">
        <v>1200</v>
      </c>
      <c r="J14">
        <v>2400</v>
      </c>
      <c r="K14">
        <f>Table1_2[[#This Row],[Sales]]-Table1_2[[#This Row],[Cost]]</f>
        <v>1200</v>
      </c>
    </row>
    <row r="15" spans="1:11" x14ac:dyDescent="0.35">
      <c r="A15" s="2" t="s">
        <v>34</v>
      </c>
      <c r="B15" s="1">
        <v>45324</v>
      </c>
      <c r="C15" s="2" t="s">
        <v>334</v>
      </c>
      <c r="D15">
        <v>2024</v>
      </c>
      <c r="E15" s="2" t="s">
        <v>9</v>
      </c>
      <c r="F15" s="2" t="s">
        <v>35</v>
      </c>
      <c r="G15" s="2" t="s">
        <v>33</v>
      </c>
      <c r="H15">
        <v>2</v>
      </c>
      <c r="I15">
        <v>700</v>
      </c>
      <c r="J15">
        <v>1400</v>
      </c>
      <c r="K15">
        <f>Table1_2[[#This Row],[Sales]]-Table1_2[[#This Row],[Cost]]</f>
        <v>700</v>
      </c>
    </row>
    <row r="16" spans="1:11" x14ac:dyDescent="0.35">
      <c r="A16" s="2" t="s">
        <v>36</v>
      </c>
      <c r="B16" s="1">
        <v>45322</v>
      </c>
      <c r="C16" s="2" t="s">
        <v>327</v>
      </c>
      <c r="D16">
        <v>2024</v>
      </c>
      <c r="E16" s="2" t="s">
        <v>17</v>
      </c>
      <c r="F16" s="2" t="s">
        <v>18</v>
      </c>
      <c r="G16" s="2" t="s">
        <v>11</v>
      </c>
      <c r="H16">
        <v>5</v>
      </c>
      <c r="I16">
        <v>1200</v>
      </c>
      <c r="J16">
        <v>6000</v>
      </c>
      <c r="K16">
        <f>Table1_2[[#This Row],[Sales]]-Table1_2[[#This Row],[Cost]]</f>
        <v>4800</v>
      </c>
    </row>
    <row r="17" spans="1:11" x14ac:dyDescent="0.35">
      <c r="A17" s="2" t="s">
        <v>37</v>
      </c>
      <c r="B17" s="1">
        <v>45387</v>
      </c>
      <c r="C17" s="2" t="s">
        <v>326</v>
      </c>
      <c r="D17">
        <v>2024</v>
      </c>
      <c r="E17" s="2" t="s">
        <v>9</v>
      </c>
      <c r="F17" s="2" t="s">
        <v>29</v>
      </c>
      <c r="G17" s="2" t="s">
        <v>19</v>
      </c>
      <c r="H17">
        <v>3</v>
      </c>
      <c r="I17">
        <v>1200</v>
      </c>
      <c r="J17">
        <v>3600</v>
      </c>
      <c r="K17">
        <f>Table1_2[[#This Row],[Sales]]-Table1_2[[#This Row],[Cost]]</f>
        <v>2400</v>
      </c>
    </row>
    <row r="18" spans="1:11" x14ac:dyDescent="0.35">
      <c r="A18" s="2" t="s">
        <v>38</v>
      </c>
      <c r="B18" s="1">
        <v>45515</v>
      </c>
      <c r="C18" s="2" t="s">
        <v>329</v>
      </c>
      <c r="D18">
        <v>2024</v>
      </c>
      <c r="E18" s="2" t="s">
        <v>9</v>
      </c>
      <c r="F18" s="2" t="s">
        <v>35</v>
      </c>
      <c r="G18" s="2" t="s">
        <v>15</v>
      </c>
      <c r="H18">
        <v>3</v>
      </c>
      <c r="I18">
        <v>700</v>
      </c>
      <c r="J18">
        <v>2100</v>
      </c>
      <c r="K18">
        <f>Table1_2[[#This Row],[Sales]]-Table1_2[[#This Row],[Cost]]</f>
        <v>1400</v>
      </c>
    </row>
    <row r="19" spans="1:11" x14ac:dyDescent="0.35">
      <c r="A19" s="2" t="s">
        <v>39</v>
      </c>
      <c r="B19" s="1">
        <v>45530</v>
      </c>
      <c r="C19" s="2" t="s">
        <v>329</v>
      </c>
      <c r="D19">
        <v>2024</v>
      </c>
      <c r="E19" s="2" t="s">
        <v>9</v>
      </c>
      <c r="F19" s="2" t="s">
        <v>29</v>
      </c>
      <c r="G19" s="2" t="s">
        <v>15</v>
      </c>
      <c r="H19">
        <v>5</v>
      </c>
      <c r="I19">
        <v>1200</v>
      </c>
      <c r="J19">
        <v>6000</v>
      </c>
      <c r="K19">
        <f>Table1_2[[#This Row],[Sales]]-Table1_2[[#This Row],[Cost]]</f>
        <v>4800</v>
      </c>
    </row>
    <row r="20" spans="1:11" x14ac:dyDescent="0.35">
      <c r="A20" s="2" t="s">
        <v>40</v>
      </c>
      <c r="B20" s="1">
        <v>45809</v>
      </c>
      <c r="C20" s="2" t="s">
        <v>335</v>
      </c>
      <c r="D20">
        <v>2025</v>
      </c>
      <c r="E20" s="2" t="s">
        <v>17</v>
      </c>
      <c r="F20" s="2" t="s">
        <v>18</v>
      </c>
      <c r="G20" s="2" t="s">
        <v>15</v>
      </c>
      <c r="H20">
        <v>2</v>
      </c>
      <c r="I20">
        <v>1200</v>
      </c>
      <c r="J20">
        <v>2400</v>
      </c>
      <c r="K20">
        <f>Table1_2[[#This Row],[Sales]]-Table1_2[[#This Row],[Cost]]</f>
        <v>1200</v>
      </c>
    </row>
    <row r="21" spans="1:11" x14ac:dyDescent="0.35">
      <c r="A21" s="2" t="s">
        <v>41</v>
      </c>
      <c r="B21" s="1">
        <v>45908</v>
      </c>
      <c r="C21" s="2" t="s">
        <v>328</v>
      </c>
      <c r="D21">
        <v>2025</v>
      </c>
      <c r="E21" s="2" t="s">
        <v>9</v>
      </c>
      <c r="F21" s="2" t="s">
        <v>29</v>
      </c>
      <c r="G21" s="2" t="s">
        <v>11</v>
      </c>
      <c r="H21">
        <v>3</v>
      </c>
      <c r="I21">
        <v>1200</v>
      </c>
      <c r="J21">
        <v>3600</v>
      </c>
      <c r="K21">
        <f>Table1_2[[#This Row],[Sales]]-Table1_2[[#This Row],[Cost]]</f>
        <v>2400</v>
      </c>
    </row>
    <row r="22" spans="1:11" x14ac:dyDescent="0.35">
      <c r="A22" s="2" t="s">
        <v>42</v>
      </c>
      <c r="B22" s="1">
        <v>45319</v>
      </c>
      <c r="C22" s="2" t="s">
        <v>327</v>
      </c>
      <c r="D22">
        <v>2024</v>
      </c>
      <c r="E22" s="2" t="s">
        <v>17</v>
      </c>
      <c r="F22" s="2" t="s">
        <v>18</v>
      </c>
      <c r="G22" s="2" t="s">
        <v>15</v>
      </c>
      <c r="H22">
        <v>3</v>
      </c>
      <c r="I22">
        <v>1200</v>
      </c>
      <c r="J22">
        <v>3600</v>
      </c>
      <c r="K22">
        <f>Table1_2[[#This Row],[Sales]]-Table1_2[[#This Row],[Cost]]</f>
        <v>2400</v>
      </c>
    </row>
    <row r="23" spans="1:11" x14ac:dyDescent="0.35">
      <c r="A23" s="2" t="s">
        <v>43</v>
      </c>
      <c r="B23" s="1">
        <v>45866</v>
      </c>
      <c r="C23" s="2" t="s">
        <v>332</v>
      </c>
      <c r="D23">
        <v>2025</v>
      </c>
      <c r="E23" s="2" t="s">
        <v>17</v>
      </c>
      <c r="F23" s="2" t="s">
        <v>18</v>
      </c>
      <c r="G23" s="2" t="s">
        <v>15</v>
      </c>
      <c r="H23">
        <v>4</v>
      </c>
      <c r="I23">
        <v>1200</v>
      </c>
      <c r="J23">
        <v>4800</v>
      </c>
      <c r="K23">
        <f>Table1_2[[#This Row],[Sales]]-Table1_2[[#This Row],[Cost]]</f>
        <v>3600</v>
      </c>
    </row>
    <row r="24" spans="1:11" x14ac:dyDescent="0.35">
      <c r="A24" s="2" t="s">
        <v>44</v>
      </c>
      <c r="B24" s="1">
        <v>45495</v>
      </c>
      <c r="C24" s="2" t="s">
        <v>332</v>
      </c>
      <c r="D24">
        <v>2024</v>
      </c>
      <c r="E24" s="2" t="s">
        <v>17</v>
      </c>
      <c r="F24" s="2" t="s">
        <v>18</v>
      </c>
      <c r="G24" s="2" t="s">
        <v>33</v>
      </c>
      <c r="H24">
        <v>3</v>
      </c>
      <c r="I24">
        <v>1200</v>
      </c>
      <c r="J24">
        <v>3600</v>
      </c>
      <c r="K24">
        <f>Table1_2[[#This Row],[Sales]]-Table1_2[[#This Row],[Cost]]</f>
        <v>2400</v>
      </c>
    </row>
    <row r="25" spans="1:11" x14ac:dyDescent="0.35">
      <c r="A25" s="2" t="s">
        <v>45</v>
      </c>
      <c r="B25" s="1">
        <v>45957</v>
      </c>
      <c r="C25" s="2" t="s">
        <v>325</v>
      </c>
      <c r="D25">
        <v>2025</v>
      </c>
      <c r="E25" s="2" t="s">
        <v>9</v>
      </c>
      <c r="F25" s="2" t="s">
        <v>35</v>
      </c>
      <c r="G25" s="2" t="s">
        <v>33</v>
      </c>
      <c r="H25">
        <v>2</v>
      </c>
      <c r="I25">
        <v>700</v>
      </c>
      <c r="J25">
        <v>1400</v>
      </c>
      <c r="K25">
        <f>Table1_2[[#This Row],[Sales]]-Table1_2[[#This Row],[Cost]]</f>
        <v>700</v>
      </c>
    </row>
    <row r="26" spans="1:11" x14ac:dyDescent="0.35">
      <c r="A26" s="2" t="s">
        <v>46</v>
      </c>
      <c r="B26" s="1">
        <v>46010</v>
      </c>
      <c r="C26" s="2" t="s">
        <v>336</v>
      </c>
      <c r="D26">
        <v>2025</v>
      </c>
      <c r="E26" s="2" t="s">
        <v>9</v>
      </c>
      <c r="F26" s="2" t="s">
        <v>27</v>
      </c>
      <c r="G26" s="2" t="s">
        <v>15</v>
      </c>
      <c r="H26">
        <v>2</v>
      </c>
      <c r="I26">
        <v>2500</v>
      </c>
      <c r="J26">
        <v>5000</v>
      </c>
      <c r="K26">
        <f>Table1_2[[#This Row],[Sales]]-Table1_2[[#This Row],[Cost]]</f>
        <v>2500</v>
      </c>
    </row>
    <row r="27" spans="1:11" x14ac:dyDescent="0.35">
      <c r="A27" s="2" t="s">
        <v>47</v>
      </c>
      <c r="B27" s="1">
        <v>45850</v>
      </c>
      <c r="C27" s="2" t="s">
        <v>332</v>
      </c>
      <c r="D27">
        <v>2025</v>
      </c>
      <c r="E27" s="2" t="s">
        <v>17</v>
      </c>
      <c r="F27" s="2" t="s">
        <v>18</v>
      </c>
      <c r="G27" s="2" t="s">
        <v>19</v>
      </c>
      <c r="H27">
        <v>3</v>
      </c>
      <c r="I27">
        <v>1200</v>
      </c>
      <c r="J27">
        <v>3600</v>
      </c>
      <c r="K27">
        <f>Table1_2[[#This Row],[Sales]]-Table1_2[[#This Row],[Cost]]</f>
        <v>2400</v>
      </c>
    </row>
    <row r="28" spans="1:11" x14ac:dyDescent="0.35">
      <c r="A28" s="2" t="s">
        <v>48</v>
      </c>
      <c r="B28" s="1">
        <v>45721</v>
      </c>
      <c r="C28" s="2" t="s">
        <v>333</v>
      </c>
      <c r="D28">
        <v>2025</v>
      </c>
      <c r="E28" s="2" t="s">
        <v>17</v>
      </c>
      <c r="F28" s="2" t="s">
        <v>18</v>
      </c>
      <c r="G28" s="2" t="s">
        <v>11</v>
      </c>
      <c r="H28">
        <v>2</v>
      </c>
      <c r="I28">
        <v>1200</v>
      </c>
      <c r="J28">
        <v>2400</v>
      </c>
      <c r="K28">
        <f>Table1_2[[#This Row],[Sales]]-Table1_2[[#This Row],[Cost]]</f>
        <v>1200</v>
      </c>
    </row>
    <row r="29" spans="1:11" x14ac:dyDescent="0.35">
      <c r="A29" s="2" t="s">
        <v>49</v>
      </c>
      <c r="B29" s="1">
        <v>45517</v>
      </c>
      <c r="C29" s="2" t="s">
        <v>329</v>
      </c>
      <c r="D29">
        <v>2024</v>
      </c>
      <c r="E29" s="2" t="s">
        <v>9</v>
      </c>
      <c r="F29" s="2" t="s">
        <v>27</v>
      </c>
      <c r="G29" s="2" t="s">
        <v>11</v>
      </c>
      <c r="H29">
        <v>2</v>
      </c>
      <c r="I29">
        <v>2500</v>
      </c>
      <c r="J29">
        <v>5000</v>
      </c>
      <c r="K29">
        <f>Table1_2[[#This Row],[Sales]]-Table1_2[[#This Row],[Cost]]</f>
        <v>2500</v>
      </c>
    </row>
    <row r="30" spans="1:11" x14ac:dyDescent="0.35">
      <c r="A30" s="2" t="s">
        <v>50</v>
      </c>
      <c r="B30" s="1">
        <v>45751</v>
      </c>
      <c r="C30" s="2" t="s">
        <v>326</v>
      </c>
      <c r="D30">
        <v>2025</v>
      </c>
      <c r="E30" s="2" t="s">
        <v>17</v>
      </c>
      <c r="F30" s="2" t="s">
        <v>18</v>
      </c>
      <c r="G30" s="2" t="s">
        <v>33</v>
      </c>
      <c r="H30">
        <v>2</v>
      </c>
      <c r="I30">
        <v>1200</v>
      </c>
      <c r="J30">
        <v>2400</v>
      </c>
      <c r="K30">
        <f>Table1_2[[#This Row],[Sales]]-Table1_2[[#This Row],[Cost]]</f>
        <v>1200</v>
      </c>
    </row>
    <row r="31" spans="1:11" x14ac:dyDescent="0.35">
      <c r="A31" s="2" t="s">
        <v>51</v>
      </c>
      <c r="B31" s="1">
        <v>45895</v>
      </c>
      <c r="C31" s="2" t="s">
        <v>329</v>
      </c>
      <c r="D31">
        <v>2025</v>
      </c>
      <c r="E31" s="2" t="s">
        <v>9</v>
      </c>
      <c r="F31" s="2" t="s">
        <v>29</v>
      </c>
      <c r="G31" s="2" t="s">
        <v>15</v>
      </c>
      <c r="H31">
        <v>1</v>
      </c>
      <c r="I31">
        <v>1200</v>
      </c>
      <c r="J31">
        <v>1200</v>
      </c>
      <c r="K31">
        <f>Table1_2[[#This Row],[Sales]]-Table1_2[[#This Row],[Cost]]</f>
        <v>0</v>
      </c>
    </row>
    <row r="32" spans="1:11" x14ac:dyDescent="0.35">
      <c r="A32" s="2" t="s">
        <v>52</v>
      </c>
      <c r="B32" s="1">
        <v>45576</v>
      </c>
      <c r="C32" s="2" t="s">
        <v>325</v>
      </c>
      <c r="D32">
        <v>2024</v>
      </c>
      <c r="E32" s="2" t="s">
        <v>13</v>
      </c>
      <c r="F32" s="2" t="s">
        <v>21</v>
      </c>
      <c r="G32" s="2" t="s">
        <v>19</v>
      </c>
      <c r="H32">
        <v>2</v>
      </c>
      <c r="I32">
        <v>1500</v>
      </c>
      <c r="J32">
        <v>3000</v>
      </c>
      <c r="K32">
        <f>Table1_2[[#This Row],[Sales]]-Table1_2[[#This Row],[Cost]]</f>
        <v>1500</v>
      </c>
    </row>
    <row r="33" spans="1:11" x14ac:dyDescent="0.35">
      <c r="A33" s="2" t="s">
        <v>53</v>
      </c>
      <c r="B33" s="1">
        <v>45298</v>
      </c>
      <c r="C33" s="2" t="s">
        <v>327</v>
      </c>
      <c r="D33">
        <v>2024</v>
      </c>
      <c r="E33" s="2" t="s">
        <v>9</v>
      </c>
      <c r="F33" s="2" t="s">
        <v>29</v>
      </c>
      <c r="G33" s="2" t="s">
        <v>33</v>
      </c>
      <c r="H33">
        <v>4</v>
      </c>
      <c r="I33">
        <v>1200</v>
      </c>
      <c r="J33">
        <v>4800</v>
      </c>
      <c r="K33">
        <f>Table1_2[[#This Row],[Sales]]-Table1_2[[#This Row],[Cost]]</f>
        <v>3600</v>
      </c>
    </row>
    <row r="34" spans="1:11" x14ac:dyDescent="0.35">
      <c r="A34" s="2" t="s">
        <v>54</v>
      </c>
      <c r="B34" s="1">
        <v>45455</v>
      </c>
      <c r="C34" s="2" t="s">
        <v>335</v>
      </c>
      <c r="D34">
        <v>2024</v>
      </c>
      <c r="E34" s="2" t="s">
        <v>17</v>
      </c>
      <c r="F34" s="2" t="s">
        <v>18</v>
      </c>
      <c r="G34" s="2" t="s">
        <v>19</v>
      </c>
      <c r="H34">
        <v>2</v>
      </c>
      <c r="I34">
        <v>1200</v>
      </c>
      <c r="J34">
        <v>2400</v>
      </c>
      <c r="K34">
        <f>Table1_2[[#This Row],[Sales]]-Table1_2[[#This Row],[Cost]]</f>
        <v>1200</v>
      </c>
    </row>
    <row r="35" spans="1:11" x14ac:dyDescent="0.35">
      <c r="A35" s="2" t="s">
        <v>55</v>
      </c>
      <c r="B35" s="1">
        <v>46006</v>
      </c>
      <c r="C35" s="2" t="s">
        <v>336</v>
      </c>
      <c r="D35">
        <v>2025</v>
      </c>
      <c r="E35" s="2" t="s">
        <v>9</v>
      </c>
      <c r="F35" s="2" t="s">
        <v>10</v>
      </c>
      <c r="G35" s="2" t="s">
        <v>11</v>
      </c>
      <c r="H35">
        <v>2</v>
      </c>
      <c r="I35">
        <v>500</v>
      </c>
      <c r="J35">
        <v>1000</v>
      </c>
      <c r="K35">
        <f>Table1_2[[#This Row],[Sales]]-Table1_2[[#This Row],[Cost]]</f>
        <v>500</v>
      </c>
    </row>
    <row r="36" spans="1:11" x14ac:dyDescent="0.35">
      <c r="A36" s="2" t="s">
        <v>56</v>
      </c>
      <c r="B36" s="1">
        <v>45724</v>
      </c>
      <c r="C36" s="2" t="s">
        <v>333</v>
      </c>
      <c r="D36">
        <v>2025</v>
      </c>
      <c r="E36" s="2" t="s">
        <v>17</v>
      </c>
      <c r="F36" s="2" t="s">
        <v>18</v>
      </c>
      <c r="G36" s="2" t="s">
        <v>33</v>
      </c>
      <c r="H36">
        <v>2</v>
      </c>
      <c r="I36">
        <v>1200</v>
      </c>
      <c r="J36">
        <v>2400</v>
      </c>
      <c r="K36">
        <f>Table1_2[[#This Row],[Sales]]-Table1_2[[#This Row],[Cost]]</f>
        <v>1200</v>
      </c>
    </row>
    <row r="37" spans="1:11" x14ac:dyDescent="0.35">
      <c r="A37" s="2" t="s">
        <v>57</v>
      </c>
      <c r="B37" s="1">
        <v>45640</v>
      </c>
      <c r="C37" s="2" t="s">
        <v>336</v>
      </c>
      <c r="D37">
        <v>2024</v>
      </c>
      <c r="E37" s="2" t="s">
        <v>13</v>
      </c>
      <c r="F37" s="2" t="s">
        <v>21</v>
      </c>
      <c r="G37" s="2" t="s">
        <v>11</v>
      </c>
      <c r="H37">
        <v>3</v>
      </c>
      <c r="I37">
        <v>1500</v>
      </c>
      <c r="J37">
        <v>4500</v>
      </c>
      <c r="K37">
        <f>Table1_2[[#This Row],[Sales]]-Table1_2[[#This Row],[Cost]]</f>
        <v>3000</v>
      </c>
    </row>
    <row r="38" spans="1:11" x14ac:dyDescent="0.35">
      <c r="A38" s="2" t="s">
        <v>58</v>
      </c>
      <c r="B38" s="1">
        <v>45576</v>
      </c>
      <c r="C38" s="2" t="s">
        <v>325</v>
      </c>
      <c r="D38">
        <v>2024</v>
      </c>
      <c r="E38" s="2" t="s">
        <v>9</v>
      </c>
      <c r="F38" s="2" t="s">
        <v>10</v>
      </c>
      <c r="G38" s="2" t="s">
        <v>19</v>
      </c>
      <c r="H38">
        <v>2</v>
      </c>
      <c r="I38">
        <v>500</v>
      </c>
      <c r="J38">
        <v>1000</v>
      </c>
      <c r="K38">
        <f>Table1_2[[#This Row],[Sales]]-Table1_2[[#This Row],[Cost]]</f>
        <v>500</v>
      </c>
    </row>
    <row r="39" spans="1:11" x14ac:dyDescent="0.35">
      <c r="A39" s="2" t="s">
        <v>59</v>
      </c>
      <c r="B39" s="1">
        <v>45451</v>
      </c>
      <c r="C39" s="2" t="s">
        <v>335</v>
      </c>
      <c r="D39">
        <v>2024</v>
      </c>
      <c r="E39" s="2" t="s">
        <v>13</v>
      </c>
      <c r="F39" s="2" t="s">
        <v>14</v>
      </c>
      <c r="G39" s="2" t="s">
        <v>15</v>
      </c>
      <c r="H39">
        <v>1</v>
      </c>
      <c r="I39">
        <v>2000</v>
      </c>
      <c r="J39">
        <v>2000</v>
      </c>
      <c r="K39">
        <f>Table1_2[[#This Row],[Sales]]-Table1_2[[#This Row],[Cost]]</f>
        <v>0</v>
      </c>
    </row>
    <row r="40" spans="1:11" x14ac:dyDescent="0.35">
      <c r="A40" s="2" t="s">
        <v>60</v>
      </c>
      <c r="B40" s="1">
        <v>45512</v>
      </c>
      <c r="C40" s="2" t="s">
        <v>329</v>
      </c>
      <c r="D40">
        <v>2024</v>
      </c>
      <c r="E40" s="2" t="s">
        <v>9</v>
      </c>
      <c r="F40" s="2" t="s">
        <v>35</v>
      </c>
      <c r="G40" s="2" t="s">
        <v>19</v>
      </c>
      <c r="H40">
        <v>2</v>
      </c>
      <c r="I40">
        <v>700</v>
      </c>
      <c r="J40">
        <v>1400</v>
      </c>
      <c r="K40">
        <f>Table1_2[[#This Row],[Sales]]-Table1_2[[#This Row],[Cost]]</f>
        <v>700</v>
      </c>
    </row>
    <row r="41" spans="1:11" x14ac:dyDescent="0.35">
      <c r="A41" s="2" t="s">
        <v>61</v>
      </c>
      <c r="B41" s="1">
        <v>45636</v>
      </c>
      <c r="C41" s="2" t="s">
        <v>336</v>
      </c>
      <c r="D41">
        <v>2024</v>
      </c>
      <c r="E41" s="2" t="s">
        <v>13</v>
      </c>
      <c r="F41" s="2" t="s">
        <v>14</v>
      </c>
      <c r="G41" s="2" t="s">
        <v>11</v>
      </c>
      <c r="H41">
        <v>2</v>
      </c>
      <c r="I41">
        <v>2000</v>
      </c>
      <c r="J41">
        <v>4000</v>
      </c>
      <c r="K41">
        <f>Table1_2[[#This Row],[Sales]]-Table1_2[[#This Row],[Cost]]</f>
        <v>2000</v>
      </c>
    </row>
    <row r="42" spans="1:11" x14ac:dyDescent="0.35">
      <c r="A42" s="2" t="s">
        <v>62</v>
      </c>
      <c r="B42" s="1">
        <v>45396</v>
      </c>
      <c r="C42" s="2" t="s">
        <v>326</v>
      </c>
      <c r="D42">
        <v>2024</v>
      </c>
      <c r="E42" s="2" t="s">
        <v>13</v>
      </c>
      <c r="F42" s="2" t="s">
        <v>63</v>
      </c>
      <c r="G42" s="2" t="s">
        <v>15</v>
      </c>
      <c r="H42">
        <v>1</v>
      </c>
      <c r="I42">
        <v>1000</v>
      </c>
      <c r="J42">
        <v>1000</v>
      </c>
      <c r="K42">
        <f>Table1_2[[#This Row],[Sales]]-Table1_2[[#This Row],[Cost]]</f>
        <v>0</v>
      </c>
    </row>
    <row r="43" spans="1:11" x14ac:dyDescent="0.35">
      <c r="A43" s="2" t="s">
        <v>64</v>
      </c>
      <c r="B43" s="1">
        <v>45386</v>
      </c>
      <c r="C43" s="2" t="s">
        <v>326</v>
      </c>
      <c r="D43">
        <v>2024</v>
      </c>
      <c r="E43" s="2" t="s">
        <v>9</v>
      </c>
      <c r="F43" s="2" t="s">
        <v>29</v>
      </c>
      <c r="G43" s="2" t="s">
        <v>19</v>
      </c>
      <c r="H43">
        <v>2</v>
      </c>
      <c r="I43">
        <v>1200</v>
      </c>
      <c r="J43">
        <v>2400</v>
      </c>
      <c r="K43">
        <f>Table1_2[[#This Row],[Sales]]-Table1_2[[#This Row],[Cost]]</f>
        <v>1200</v>
      </c>
    </row>
    <row r="44" spans="1:11" x14ac:dyDescent="0.35">
      <c r="A44" s="2" t="s">
        <v>65</v>
      </c>
      <c r="B44" s="1">
        <v>45681</v>
      </c>
      <c r="C44" s="2" t="s">
        <v>327</v>
      </c>
      <c r="D44">
        <v>2025</v>
      </c>
      <c r="E44" s="2" t="s">
        <v>13</v>
      </c>
      <c r="F44" s="2" t="s">
        <v>21</v>
      </c>
      <c r="G44" s="2" t="s">
        <v>11</v>
      </c>
      <c r="H44">
        <v>2</v>
      </c>
      <c r="I44">
        <v>1500</v>
      </c>
      <c r="J44">
        <v>3000</v>
      </c>
      <c r="K44">
        <f>Table1_2[[#This Row],[Sales]]-Table1_2[[#This Row],[Cost]]</f>
        <v>1500</v>
      </c>
    </row>
    <row r="45" spans="1:11" x14ac:dyDescent="0.35">
      <c r="A45" s="2" t="s">
        <v>66</v>
      </c>
      <c r="B45" s="1">
        <v>45391</v>
      </c>
      <c r="C45" s="2" t="s">
        <v>326</v>
      </c>
      <c r="D45">
        <v>2024</v>
      </c>
      <c r="E45" s="2" t="s">
        <v>13</v>
      </c>
      <c r="F45" s="2" t="s">
        <v>63</v>
      </c>
      <c r="G45" s="2" t="s">
        <v>15</v>
      </c>
      <c r="H45">
        <v>2</v>
      </c>
      <c r="I45">
        <v>1000</v>
      </c>
      <c r="J45">
        <v>2000</v>
      </c>
      <c r="K45">
        <f>Table1_2[[#This Row],[Sales]]-Table1_2[[#This Row],[Cost]]</f>
        <v>1000</v>
      </c>
    </row>
    <row r="46" spans="1:11" x14ac:dyDescent="0.35">
      <c r="A46" s="2" t="s">
        <v>67</v>
      </c>
      <c r="B46" s="1">
        <v>45659</v>
      </c>
      <c r="C46" s="2" t="s">
        <v>327</v>
      </c>
      <c r="D46">
        <v>2025</v>
      </c>
      <c r="E46" s="2" t="s">
        <v>17</v>
      </c>
      <c r="F46" s="2" t="s">
        <v>18</v>
      </c>
      <c r="G46" s="2" t="s">
        <v>33</v>
      </c>
      <c r="H46">
        <v>3</v>
      </c>
      <c r="I46">
        <v>1200</v>
      </c>
      <c r="J46">
        <v>3600</v>
      </c>
      <c r="K46">
        <f>Table1_2[[#This Row],[Sales]]-Table1_2[[#This Row],[Cost]]</f>
        <v>2400</v>
      </c>
    </row>
    <row r="47" spans="1:11" x14ac:dyDescent="0.35">
      <c r="A47" s="2" t="s">
        <v>68</v>
      </c>
      <c r="B47" s="1">
        <v>45644</v>
      </c>
      <c r="C47" s="2" t="s">
        <v>336</v>
      </c>
      <c r="D47">
        <v>2024</v>
      </c>
      <c r="E47" s="2" t="s">
        <v>9</v>
      </c>
      <c r="F47" s="2" t="s">
        <v>29</v>
      </c>
      <c r="G47" s="2" t="s">
        <v>11</v>
      </c>
      <c r="H47">
        <v>2</v>
      </c>
      <c r="I47">
        <v>1200</v>
      </c>
      <c r="J47">
        <v>2400</v>
      </c>
      <c r="K47">
        <f>Table1_2[[#This Row],[Sales]]-Table1_2[[#This Row],[Cost]]</f>
        <v>1200</v>
      </c>
    </row>
    <row r="48" spans="1:11" x14ac:dyDescent="0.35">
      <c r="A48" s="2" t="s">
        <v>69</v>
      </c>
      <c r="B48" s="1">
        <v>45910</v>
      </c>
      <c r="C48" s="2" t="s">
        <v>328</v>
      </c>
      <c r="D48">
        <v>2025</v>
      </c>
      <c r="E48" s="2" t="s">
        <v>13</v>
      </c>
      <c r="F48" s="2" t="s">
        <v>21</v>
      </c>
      <c r="G48" s="2" t="s">
        <v>19</v>
      </c>
      <c r="H48">
        <v>2</v>
      </c>
      <c r="I48">
        <v>1500</v>
      </c>
      <c r="J48">
        <v>3000</v>
      </c>
      <c r="K48">
        <v>6000</v>
      </c>
    </row>
    <row r="49" spans="1:11" x14ac:dyDescent="0.35">
      <c r="A49" s="2" t="s">
        <v>70</v>
      </c>
      <c r="B49" s="1">
        <v>45562</v>
      </c>
      <c r="C49" s="2" t="s">
        <v>328</v>
      </c>
      <c r="D49">
        <v>2024</v>
      </c>
      <c r="E49" s="2" t="s">
        <v>13</v>
      </c>
      <c r="F49" s="2" t="s">
        <v>14</v>
      </c>
      <c r="G49" s="2" t="s">
        <v>15</v>
      </c>
      <c r="H49">
        <v>2</v>
      </c>
      <c r="I49">
        <v>2000</v>
      </c>
      <c r="J49">
        <v>4000</v>
      </c>
      <c r="K49">
        <f>Table1_2[[#This Row],[Sales]]-Table1_2[[#This Row],[Cost]]</f>
        <v>2000</v>
      </c>
    </row>
    <row r="50" spans="1:11" x14ac:dyDescent="0.35">
      <c r="A50" s="2" t="s">
        <v>71</v>
      </c>
      <c r="B50" s="1">
        <v>45336</v>
      </c>
      <c r="C50" s="2" t="s">
        <v>334</v>
      </c>
      <c r="D50">
        <v>2024</v>
      </c>
      <c r="E50" s="2" t="s">
        <v>13</v>
      </c>
      <c r="F50" s="2" t="s">
        <v>21</v>
      </c>
      <c r="G50" s="2" t="s">
        <v>15</v>
      </c>
      <c r="H50">
        <v>3</v>
      </c>
      <c r="I50">
        <v>1500</v>
      </c>
      <c r="J50">
        <v>4500</v>
      </c>
      <c r="K50">
        <f>Table1_2[[#This Row],[Sales]]-Table1_2[[#This Row],[Cost]]</f>
        <v>3000</v>
      </c>
    </row>
    <row r="51" spans="1:11" x14ac:dyDescent="0.35">
      <c r="A51" s="2" t="s">
        <v>72</v>
      </c>
      <c r="B51" s="1">
        <v>45762</v>
      </c>
      <c r="C51" s="2" t="s">
        <v>326</v>
      </c>
      <c r="D51">
        <v>2025</v>
      </c>
      <c r="E51" s="2" t="s">
        <v>13</v>
      </c>
      <c r="F51" s="2" t="s">
        <v>63</v>
      </c>
      <c r="G51" s="2" t="s">
        <v>15</v>
      </c>
      <c r="H51">
        <v>5</v>
      </c>
      <c r="I51">
        <v>1000</v>
      </c>
      <c r="J51">
        <v>5000</v>
      </c>
      <c r="K51">
        <f>Table1_2[[#This Row],[Sales]]-Table1_2[[#This Row],[Cost]]</f>
        <v>4000</v>
      </c>
    </row>
    <row r="52" spans="1:11" x14ac:dyDescent="0.35">
      <c r="A52" s="2" t="s">
        <v>73</v>
      </c>
      <c r="B52" s="1">
        <v>45841</v>
      </c>
      <c r="C52" s="2" t="s">
        <v>332</v>
      </c>
      <c r="D52">
        <v>2025</v>
      </c>
      <c r="E52" s="2" t="s">
        <v>17</v>
      </c>
      <c r="F52" s="2" t="s">
        <v>18</v>
      </c>
      <c r="G52" s="2" t="s">
        <v>19</v>
      </c>
      <c r="H52">
        <v>2</v>
      </c>
      <c r="I52">
        <v>1200</v>
      </c>
      <c r="J52">
        <v>2400</v>
      </c>
      <c r="K52">
        <f>Table1_2[[#This Row],[Sales]]-Table1_2[[#This Row],[Cost]]</f>
        <v>1200</v>
      </c>
    </row>
    <row r="53" spans="1:11" x14ac:dyDescent="0.35">
      <c r="A53" s="2" t="s">
        <v>74</v>
      </c>
      <c r="B53" s="1">
        <v>45419</v>
      </c>
      <c r="C53" s="2" t="s">
        <v>330</v>
      </c>
      <c r="D53">
        <v>2024</v>
      </c>
      <c r="E53" s="2" t="s">
        <v>13</v>
      </c>
      <c r="F53" s="2" t="s">
        <v>63</v>
      </c>
      <c r="G53" s="2" t="s">
        <v>33</v>
      </c>
      <c r="H53">
        <v>2</v>
      </c>
      <c r="I53">
        <v>1000</v>
      </c>
      <c r="J53">
        <v>2000</v>
      </c>
      <c r="K53">
        <f>Table1_2[[#This Row],[Sales]]-Table1_2[[#This Row],[Cost]]</f>
        <v>1000</v>
      </c>
    </row>
    <row r="54" spans="1:11" x14ac:dyDescent="0.35">
      <c r="A54" s="2" t="s">
        <v>75</v>
      </c>
      <c r="B54" s="1">
        <v>45679</v>
      </c>
      <c r="C54" s="2" t="s">
        <v>327</v>
      </c>
      <c r="D54">
        <v>2025</v>
      </c>
      <c r="E54" s="2" t="s">
        <v>17</v>
      </c>
      <c r="F54" s="2" t="s">
        <v>18</v>
      </c>
      <c r="G54" s="2" t="s">
        <v>15</v>
      </c>
      <c r="H54">
        <v>2</v>
      </c>
      <c r="I54">
        <v>1200</v>
      </c>
      <c r="J54">
        <v>2400</v>
      </c>
      <c r="K54">
        <f>Table1_2[[#This Row],[Sales]]-Table1_2[[#This Row],[Cost]]</f>
        <v>1200</v>
      </c>
    </row>
    <row r="55" spans="1:11" x14ac:dyDescent="0.35">
      <c r="A55" s="2" t="s">
        <v>76</v>
      </c>
      <c r="B55" s="1">
        <v>45372</v>
      </c>
      <c r="C55" s="2" t="s">
        <v>333</v>
      </c>
      <c r="D55">
        <v>2024</v>
      </c>
      <c r="E55" s="2" t="s">
        <v>17</v>
      </c>
      <c r="F55" s="2" t="s">
        <v>18</v>
      </c>
      <c r="G55" s="2" t="s">
        <v>15</v>
      </c>
      <c r="H55">
        <v>3</v>
      </c>
      <c r="I55">
        <v>1200</v>
      </c>
      <c r="J55">
        <v>3600</v>
      </c>
      <c r="K55">
        <f>Table1_2[[#This Row],[Sales]]-Table1_2[[#This Row],[Cost]]</f>
        <v>2400</v>
      </c>
    </row>
    <row r="56" spans="1:11" x14ac:dyDescent="0.35">
      <c r="A56" s="2" t="s">
        <v>77</v>
      </c>
      <c r="B56" s="1">
        <v>45857</v>
      </c>
      <c r="C56" s="2" t="s">
        <v>332</v>
      </c>
      <c r="D56">
        <v>2025</v>
      </c>
      <c r="E56" s="2" t="s">
        <v>9</v>
      </c>
      <c r="F56" s="2" t="s">
        <v>10</v>
      </c>
      <c r="G56" s="2" t="s">
        <v>15</v>
      </c>
      <c r="H56">
        <v>3</v>
      </c>
      <c r="I56">
        <v>500</v>
      </c>
      <c r="J56">
        <v>1500</v>
      </c>
      <c r="K56">
        <f>Table1_2[[#This Row],[Sales]]-Table1_2[[#This Row],[Cost]]</f>
        <v>1000</v>
      </c>
    </row>
    <row r="57" spans="1:11" x14ac:dyDescent="0.35">
      <c r="A57" s="2" t="s">
        <v>78</v>
      </c>
      <c r="B57" s="1">
        <v>45592</v>
      </c>
      <c r="C57" s="2" t="s">
        <v>325</v>
      </c>
      <c r="D57">
        <v>2024</v>
      </c>
      <c r="E57" s="2" t="s">
        <v>13</v>
      </c>
      <c r="F57" s="2" t="s">
        <v>14</v>
      </c>
      <c r="G57" s="2" t="s">
        <v>19</v>
      </c>
      <c r="H57">
        <v>3</v>
      </c>
      <c r="I57">
        <v>2000</v>
      </c>
      <c r="J57">
        <v>6000</v>
      </c>
      <c r="K57">
        <f>Table1_2[[#This Row],[Sales]]-Table1_2[[#This Row],[Cost]]</f>
        <v>4000</v>
      </c>
    </row>
    <row r="58" spans="1:11" x14ac:dyDescent="0.35">
      <c r="A58" s="2" t="s">
        <v>79</v>
      </c>
      <c r="B58" s="1">
        <v>45935</v>
      </c>
      <c r="C58" s="2" t="s">
        <v>325</v>
      </c>
      <c r="D58">
        <v>2025</v>
      </c>
      <c r="E58" s="2" t="s">
        <v>13</v>
      </c>
      <c r="F58" s="2" t="s">
        <v>21</v>
      </c>
      <c r="G58" s="2" t="s">
        <v>11</v>
      </c>
      <c r="H58">
        <v>2</v>
      </c>
      <c r="I58">
        <v>1500</v>
      </c>
      <c r="J58">
        <v>3000</v>
      </c>
      <c r="K58">
        <f>Table1_2[[#This Row],[Sales]]-Table1_2[[#This Row],[Cost]]</f>
        <v>1500</v>
      </c>
    </row>
    <row r="59" spans="1:11" x14ac:dyDescent="0.35">
      <c r="A59" s="2" t="s">
        <v>80</v>
      </c>
      <c r="B59" s="1">
        <v>45925</v>
      </c>
      <c r="C59" s="2" t="s">
        <v>328</v>
      </c>
      <c r="D59">
        <v>2025</v>
      </c>
      <c r="E59" s="2" t="s">
        <v>17</v>
      </c>
      <c r="F59" s="2" t="s">
        <v>18</v>
      </c>
      <c r="G59" s="2" t="s">
        <v>11</v>
      </c>
      <c r="H59">
        <v>4</v>
      </c>
      <c r="I59">
        <v>1200</v>
      </c>
      <c r="J59">
        <v>4800</v>
      </c>
      <c r="K59">
        <f>Table1_2[[#This Row],[Sales]]-Table1_2[[#This Row],[Cost]]</f>
        <v>3600</v>
      </c>
    </row>
    <row r="60" spans="1:11" x14ac:dyDescent="0.35">
      <c r="A60" s="2" t="s">
        <v>81</v>
      </c>
      <c r="B60" s="1">
        <v>45662</v>
      </c>
      <c r="C60" s="2" t="s">
        <v>327</v>
      </c>
      <c r="D60">
        <v>2025</v>
      </c>
      <c r="E60" s="2" t="s">
        <v>17</v>
      </c>
      <c r="F60" s="2" t="s">
        <v>18</v>
      </c>
      <c r="G60" s="2" t="s">
        <v>19</v>
      </c>
      <c r="H60">
        <v>4</v>
      </c>
      <c r="I60">
        <v>1200</v>
      </c>
      <c r="J60">
        <v>4800</v>
      </c>
      <c r="K60">
        <f>Table1_2[[#This Row],[Sales]]-Table1_2[[#This Row],[Cost]]</f>
        <v>3600</v>
      </c>
    </row>
    <row r="61" spans="1:11" x14ac:dyDescent="0.35">
      <c r="A61" s="2" t="s">
        <v>82</v>
      </c>
      <c r="B61" s="1">
        <v>45883</v>
      </c>
      <c r="C61" s="2" t="s">
        <v>329</v>
      </c>
      <c r="D61">
        <v>2025</v>
      </c>
      <c r="E61" s="2" t="s">
        <v>9</v>
      </c>
      <c r="F61" s="2" t="s">
        <v>35</v>
      </c>
      <c r="G61" s="2" t="s">
        <v>11</v>
      </c>
      <c r="H61">
        <v>2</v>
      </c>
      <c r="I61">
        <v>700</v>
      </c>
      <c r="J61">
        <v>1400</v>
      </c>
      <c r="K61">
        <f>Table1_2[[#This Row],[Sales]]-Table1_2[[#This Row],[Cost]]</f>
        <v>700</v>
      </c>
    </row>
    <row r="62" spans="1:11" x14ac:dyDescent="0.35">
      <c r="A62" s="2" t="s">
        <v>83</v>
      </c>
      <c r="B62" s="1">
        <v>45488</v>
      </c>
      <c r="C62" s="2" t="s">
        <v>332</v>
      </c>
      <c r="D62">
        <v>2024</v>
      </c>
      <c r="E62" s="2" t="s">
        <v>13</v>
      </c>
      <c r="F62" s="2" t="s">
        <v>63</v>
      </c>
      <c r="G62" s="2" t="s">
        <v>11</v>
      </c>
      <c r="H62">
        <v>1</v>
      </c>
      <c r="I62">
        <v>1000</v>
      </c>
      <c r="J62">
        <v>1000</v>
      </c>
      <c r="K62">
        <f>Table1_2[[#This Row],[Sales]]-Table1_2[[#This Row],[Cost]]</f>
        <v>0</v>
      </c>
    </row>
    <row r="63" spans="1:11" x14ac:dyDescent="0.35">
      <c r="A63" s="2" t="s">
        <v>84</v>
      </c>
      <c r="B63" s="1">
        <v>46013</v>
      </c>
      <c r="C63" s="2" t="s">
        <v>336</v>
      </c>
      <c r="D63">
        <v>2025</v>
      </c>
      <c r="E63" s="2" t="s">
        <v>13</v>
      </c>
      <c r="F63" s="2" t="s">
        <v>21</v>
      </c>
      <c r="G63" s="2" t="s">
        <v>33</v>
      </c>
      <c r="H63">
        <v>2</v>
      </c>
      <c r="I63">
        <v>1500</v>
      </c>
      <c r="J63">
        <v>3000</v>
      </c>
      <c r="K63">
        <f>Table1_2[[#This Row],[Sales]]-Table1_2[[#This Row],[Cost]]</f>
        <v>1500</v>
      </c>
    </row>
    <row r="64" spans="1:11" x14ac:dyDescent="0.35">
      <c r="A64" s="2" t="s">
        <v>85</v>
      </c>
      <c r="B64" s="1">
        <v>45363</v>
      </c>
      <c r="C64" s="2" t="s">
        <v>333</v>
      </c>
      <c r="D64">
        <v>2024</v>
      </c>
      <c r="E64" s="2" t="s">
        <v>13</v>
      </c>
      <c r="F64" s="2" t="s">
        <v>14</v>
      </c>
      <c r="G64" s="2" t="s">
        <v>19</v>
      </c>
      <c r="H64">
        <v>4</v>
      </c>
      <c r="I64">
        <v>2000</v>
      </c>
      <c r="J64">
        <v>8000</v>
      </c>
      <c r="K64">
        <f>Table1_2[[#This Row],[Sales]]-Table1_2[[#This Row],[Cost]]</f>
        <v>6000</v>
      </c>
    </row>
    <row r="65" spans="1:11" x14ac:dyDescent="0.35">
      <c r="A65" s="2" t="s">
        <v>86</v>
      </c>
      <c r="B65" s="1">
        <v>45338</v>
      </c>
      <c r="C65" s="2" t="s">
        <v>334</v>
      </c>
      <c r="D65">
        <v>2024</v>
      </c>
      <c r="E65" s="2" t="s">
        <v>17</v>
      </c>
      <c r="F65" s="2" t="s">
        <v>18</v>
      </c>
      <c r="G65" s="2" t="s">
        <v>11</v>
      </c>
      <c r="H65">
        <v>3</v>
      </c>
      <c r="I65">
        <v>1200</v>
      </c>
      <c r="J65">
        <v>3600</v>
      </c>
      <c r="K65">
        <f>Table1_2[[#This Row],[Sales]]-Table1_2[[#This Row],[Cost]]</f>
        <v>2400</v>
      </c>
    </row>
    <row r="66" spans="1:11" x14ac:dyDescent="0.35">
      <c r="A66" s="2" t="s">
        <v>87</v>
      </c>
      <c r="B66" s="1">
        <v>45969</v>
      </c>
      <c r="C66" s="2" t="s">
        <v>331</v>
      </c>
      <c r="D66">
        <v>2025</v>
      </c>
      <c r="E66" s="2" t="s">
        <v>9</v>
      </c>
      <c r="F66" s="2" t="s">
        <v>27</v>
      </c>
      <c r="G66" s="2" t="s">
        <v>33</v>
      </c>
      <c r="H66">
        <v>2</v>
      </c>
      <c r="I66">
        <v>2500</v>
      </c>
      <c r="J66">
        <v>5000</v>
      </c>
      <c r="K66">
        <f>Table1_2[[#This Row],[Sales]]-Table1_2[[#This Row],[Cost]]</f>
        <v>2500</v>
      </c>
    </row>
    <row r="67" spans="1:11" x14ac:dyDescent="0.35">
      <c r="A67" s="2" t="s">
        <v>88</v>
      </c>
      <c r="B67" s="1">
        <v>45525</v>
      </c>
      <c r="C67" s="2" t="s">
        <v>329</v>
      </c>
      <c r="D67">
        <v>2024</v>
      </c>
      <c r="E67" s="2" t="s">
        <v>17</v>
      </c>
      <c r="F67" s="2" t="s">
        <v>18</v>
      </c>
      <c r="G67" s="2" t="s">
        <v>11</v>
      </c>
      <c r="H67">
        <v>2</v>
      </c>
      <c r="I67">
        <v>1200</v>
      </c>
      <c r="J67">
        <v>2400</v>
      </c>
      <c r="K67">
        <f>Table1_2[[#This Row],[Sales]]-Table1_2[[#This Row],[Cost]]</f>
        <v>1200</v>
      </c>
    </row>
    <row r="68" spans="1:11" x14ac:dyDescent="0.35">
      <c r="A68" s="2" t="s">
        <v>89</v>
      </c>
      <c r="B68" s="1">
        <v>45588</v>
      </c>
      <c r="C68" s="2" t="s">
        <v>325</v>
      </c>
      <c r="D68">
        <v>2024</v>
      </c>
      <c r="E68" s="2" t="s">
        <v>9</v>
      </c>
      <c r="F68" s="2" t="s">
        <v>10</v>
      </c>
      <c r="G68" s="2" t="s">
        <v>15</v>
      </c>
      <c r="H68">
        <v>3</v>
      </c>
      <c r="I68">
        <v>500</v>
      </c>
      <c r="J68">
        <v>1500</v>
      </c>
      <c r="K68">
        <f>Table1_2[[#This Row],[Sales]]-Table1_2[[#This Row],[Cost]]</f>
        <v>1000</v>
      </c>
    </row>
    <row r="69" spans="1:11" x14ac:dyDescent="0.35">
      <c r="A69" s="2" t="s">
        <v>90</v>
      </c>
      <c r="B69" s="1">
        <v>45373</v>
      </c>
      <c r="C69" s="2" t="s">
        <v>333</v>
      </c>
      <c r="D69">
        <v>2024</v>
      </c>
      <c r="E69" s="2" t="s">
        <v>17</v>
      </c>
      <c r="F69" s="2" t="s">
        <v>18</v>
      </c>
      <c r="G69" s="2" t="s">
        <v>33</v>
      </c>
      <c r="H69">
        <v>2</v>
      </c>
      <c r="I69">
        <v>1200</v>
      </c>
      <c r="J69">
        <v>2400</v>
      </c>
      <c r="K69">
        <f>Table1_2[[#This Row],[Sales]]-Table1_2[[#This Row],[Cost]]</f>
        <v>1200</v>
      </c>
    </row>
    <row r="70" spans="1:11" x14ac:dyDescent="0.35">
      <c r="A70" s="2" t="s">
        <v>91</v>
      </c>
      <c r="B70" s="1">
        <v>45530</v>
      </c>
      <c r="C70" s="2" t="s">
        <v>329</v>
      </c>
      <c r="D70">
        <v>2024</v>
      </c>
      <c r="E70" s="2" t="s">
        <v>17</v>
      </c>
      <c r="F70" s="2" t="s">
        <v>18</v>
      </c>
      <c r="G70" s="2" t="s">
        <v>33</v>
      </c>
      <c r="H70">
        <v>3</v>
      </c>
      <c r="I70">
        <v>1200</v>
      </c>
      <c r="J70">
        <v>3600</v>
      </c>
      <c r="K70">
        <f>Table1_2[[#This Row],[Sales]]-Table1_2[[#This Row],[Cost]]</f>
        <v>2400</v>
      </c>
    </row>
    <row r="71" spans="1:11" x14ac:dyDescent="0.35">
      <c r="A71" s="2" t="s">
        <v>92</v>
      </c>
      <c r="B71" s="1">
        <v>45395</v>
      </c>
      <c r="C71" s="2" t="s">
        <v>326</v>
      </c>
      <c r="D71">
        <v>2024</v>
      </c>
      <c r="E71" s="2" t="s">
        <v>9</v>
      </c>
      <c r="F71" s="2" t="s">
        <v>29</v>
      </c>
      <c r="G71" s="2" t="s">
        <v>33</v>
      </c>
      <c r="H71">
        <v>6</v>
      </c>
      <c r="I71">
        <v>1200</v>
      </c>
      <c r="J71">
        <v>7200</v>
      </c>
      <c r="K71">
        <f>Table1_2[[#This Row],[Sales]]-Table1_2[[#This Row],[Cost]]</f>
        <v>6000</v>
      </c>
    </row>
    <row r="72" spans="1:11" x14ac:dyDescent="0.35">
      <c r="A72" s="2" t="s">
        <v>93</v>
      </c>
      <c r="B72" s="1">
        <v>45681</v>
      </c>
      <c r="C72" s="2" t="s">
        <v>327</v>
      </c>
      <c r="D72">
        <v>2025</v>
      </c>
      <c r="E72" s="2" t="s">
        <v>9</v>
      </c>
      <c r="F72" s="2" t="s">
        <v>27</v>
      </c>
      <c r="G72" s="2" t="s">
        <v>33</v>
      </c>
      <c r="H72">
        <v>2</v>
      </c>
      <c r="I72">
        <v>2500</v>
      </c>
      <c r="J72">
        <v>5000</v>
      </c>
      <c r="K72">
        <f>Table1_2[[#This Row],[Sales]]-Table1_2[[#This Row],[Cost]]</f>
        <v>2500</v>
      </c>
    </row>
    <row r="73" spans="1:11" x14ac:dyDescent="0.35">
      <c r="A73" s="2" t="s">
        <v>94</v>
      </c>
      <c r="B73" s="1">
        <v>45576</v>
      </c>
      <c r="C73" s="2" t="s">
        <v>325</v>
      </c>
      <c r="D73">
        <v>2024</v>
      </c>
      <c r="E73" s="2" t="s">
        <v>17</v>
      </c>
      <c r="F73" s="2" t="s">
        <v>18</v>
      </c>
      <c r="G73" s="2" t="s">
        <v>19</v>
      </c>
      <c r="H73">
        <v>2</v>
      </c>
      <c r="I73">
        <v>1200</v>
      </c>
      <c r="J73">
        <v>2400</v>
      </c>
      <c r="K73">
        <f>Table1_2[[#This Row],[Sales]]-Table1_2[[#This Row],[Cost]]</f>
        <v>1200</v>
      </c>
    </row>
    <row r="74" spans="1:11" x14ac:dyDescent="0.35">
      <c r="A74" s="2" t="s">
        <v>95</v>
      </c>
      <c r="B74" s="1">
        <v>45756</v>
      </c>
      <c r="C74" s="2" t="s">
        <v>326</v>
      </c>
      <c r="D74">
        <v>2025</v>
      </c>
      <c r="E74" s="2" t="s">
        <v>13</v>
      </c>
      <c r="F74" s="2" t="s">
        <v>14</v>
      </c>
      <c r="G74" s="2" t="s">
        <v>11</v>
      </c>
      <c r="H74">
        <v>2</v>
      </c>
      <c r="I74">
        <v>2000</v>
      </c>
      <c r="J74">
        <v>4000</v>
      </c>
      <c r="K74">
        <f>Table1_2[[#This Row],[Sales]]-Table1_2[[#This Row],[Cost]]</f>
        <v>2000</v>
      </c>
    </row>
    <row r="75" spans="1:11" x14ac:dyDescent="0.35">
      <c r="A75" s="2" t="s">
        <v>96</v>
      </c>
      <c r="B75" s="1">
        <v>45942</v>
      </c>
      <c r="C75" s="2" t="s">
        <v>325</v>
      </c>
      <c r="D75">
        <v>2025</v>
      </c>
      <c r="E75" s="2" t="s">
        <v>9</v>
      </c>
      <c r="F75" s="2" t="s">
        <v>27</v>
      </c>
      <c r="G75" s="2" t="s">
        <v>33</v>
      </c>
      <c r="H75">
        <v>2</v>
      </c>
      <c r="I75">
        <v>2500</v>
      </c>
      <c r="J75">
        <v>5000</v>
      </c>
      <c r="K75">
        <f>Table1_2[[#This Row],[Sales]]-Table1_2[[#This Row],[Cost]]</f>
        <v>2500</v>
      </c>
    </row>
    <row r="76" spans="1:11" x14ac:dyDescent="0.35">
      <c r="A76" s="2" t="s">
        <v>97</v>
      </c>
      <c r="B76" s="1">
        <v>45665</v>
      </c>
      <c r="C76" s="2" t="s">
        <v>327</v>
      </c>
      <c r="D76">
        <v>2025</v>
      </c>
      <c r="E76" s="2" t="s">
        <v>9</v>
      </c>
      <c r="F76" s="2" t="s">
        <v>10</v>
      </c>
      <c r="G76" s="2" t="s">
        <v>19</v>
      </c>
      <c r="H76">
        <v>3</v>
      </c>
      <c r="I76">
        <v>500</v>
      </c>
      <c r="J76">
        <v>1500</v>
      </c>
      <c r="K76">
        <f>Table1_2[[#This Row],[Sales]]-Table1_2[[#This Row],[Cost]]</f>
        <v>1000</v>
      </c>
    </row>
    <row r="77" spans="1:11" x14ac:dyDescent="0.35">
      <c r="A77" s="2" t="s">
        <v>98</v>
      </c>
      <c r="B77" s="1">
        <v>45458</v>
      </c>
      <c r="C77" s="2" t="s">
        <v>335</v>
      </c>
      <c r="D77">
        <v>2024</v>
      </c>
      <c r="E77" s="2" t="s">
        <v>13</v>
      </c>
      <c r="F77" s="2" t="s">
        <v>14</v>
      </c>
      <c r="G77" s="2" t="s">
        <v>15</v>
      </c>
      <c r="H77">
        <v>2</v>
      </c>
      <c r="I77">
        <v>2000</v>
      </c>
      <c r="J77">
        <v>4000</v>
      </c>
      <c r="K77">
        <f>Table1_2[[#This Row],[Sales]]-Table1_2[[#This Row],[Cost]]</f>
        <v>2000</v>
      </c>
    </row>
    <row r="78" spans="1:11" x14ac:dyDescent="0.35">
      <c r="A78" s="2" t="s">
        <v>99</v>
      </c>
      <c r="B78" s="1">
        <v>45671</v>
      </c>
      <c r="C78" s="2" t="s">
        <v>327</v>
      </c>
      <c r="D78">
        <v>2025</v>
      </c>
      <c r="E78" s="2" t="s">
        <v>13</v>
      </c>
      <c r="F78" s="2" t="s">
        <v>63</v>
      </c>
      <c r="G78" s="2" t="s">
        <v>11</v>
      </c>
      <c r="H78">
        <v>2</v>
      </c>
      <c r="I78">
        <v>1000</v>
      </c>
      <c r="J78">
        <v>2000</v>
      </c>
      <c r="K78">
        <f>Table1_2[[#This Row],[Sales]]-Table1_2[[#This Row],[Cost]]</f>
        <v>1000</v>
      </c>
    </row>
    <row r="79" spans="1:11" x14ac:dyDescent="0.35">
      <c r="A79" s="2" t="s">
        <v>100</v>
      </c>
      <c r="B79" s="1">
        <v>45655</v>
      </c>
      <c r="C79" s="2" t="s">
        <v>336</v>
      </c>
      <c r="D79">
        <v>2024</v>
      </c>
      <c r="E79" s="2" t="s">
        <v>13</v>
      </c>
      <c r="F79" s="2" t="s">
        <v>14</v>
      </c>
      <c r="G79" s="2" t="s">
        <v>11</v>
      </c>
      <c r="H79">
        <v>2</v>
      </c>
      <c r="I79">
        <v>2000</v>
      </c>
      <c r="J79">
        <v>4000</v>
      </c>
      <c r="K79">
        <f>Table1_2[[#This Row],[Sales]]-Table1_2[[#This Row],[Cost]]</f>
        <v>2000</v>
      </c>
    </row>
    <row r="80" spans="1:11" x14ac:dyDescent="0.35">
      <c r="A80" s="2" t="s">
        <v>101</v>
      </c>
      <c r="B80" s="1">
        <v>45506</v>
      </c>
      <c r="C80" s="2" t="s">
        <v>329</v>
      </c>
      <c r="D80">
        <v>2024</v>
      </c>
      <c r="E80" s="2" t="s">
        <v>13</v>
      </c>
      <c r="F80" s="2" t="s">
        <v>63</v>
      </c>
      <c r="G80" s="2" t="s">
        <v>11</v>
      </c>
      <c r="H80">
        <v>2</v>
      </c>
      <c r="I80">
        <v>1000</v>
      </c>
      <c r="J80">
        <v>2000</v>
      </c>
      <c r="K80">
        <f>Table1_2[[#This Row],[Sales]]-Table1_2[[#This Row],[Cost]]</f>
        <v>1000</v>
      </c>
    </row>
    <row r="81" spans="1:11" x14ac:dyDescent="0.35">
      <c r="A81" s="2" t="s">
        <v>102</v>
      </c>
      <c r="B81" s="1">
        <v>45978</v>
      </c>
      <c r="C81" s="2" t="s">
        <v>331</v>
      </c>
      <c r="D81">
        <v>2025</v>
      </c>
      <c r="E81" s="2" t="s">
        <v>13</v>
      </c>
      <c r="F81" s="2" t="s">
        <v>14</v>
      </c>
      <c r="G81" s="2" t="s">
        <v>33</v>
      </c>
      <c r="H81">
        <v>2</v>
      </c>
      <c r="I81">
        <v>2000</v>
      </c>
      <c r="J81">
        <v>4000</v>
      </c>
      <c r="K81">
        <f>Table1_2[[#This Row],[Sales]]-Table1_2[[#This Row],[Cost]]</f>
        <v>2000</v>
      </c>
    </row>
    <row r="82" spans="1:11" x14ac:dyDescent="0.35">
      <c r="A82" s="2" t="s">
        <v>103</v>
      </c>
      <c r="B82" s="1">
        <v>45565</v>
      </c>
      <c r="C82" s="2" t="s">
        <v>328</v>
      </c>
      <c r="D82">
        <v>2024</v>
      </c>
      <c r="E82" s="2" t="s">
        <v>17</v>
      </c>
      <c r="F82" s="2" t="s">
        <v>18</v>
      </c>
      <c r="G82" s="2" t="s">
        <v>33</v>
      </c>
      <c r="H82">
        <v>1</v>
      </c>
      <c r="I82">
        <v>1200</v>
      </c>
      <c r="J82">
        <v>1200</v>
      </c>
      <c r="K82">
        <f>Table1_2[[#This Row],[Sales]]-Table1_2[[#This Row],[Cost]]</f>
        <v>0</v>
      </c>
    </row>
    <row r="83" spans="1:11" x14ac:dyDescent="0.35">
      <c r="A83" s="2" t="s">
        <v>104</v>
      </c>
      <c r="B83" s="1">
        <v>46010</v>
      </c>
      <c r="C83" s="2" t="s">
        <v>336</v>
      </c>
      <c r="D83">
        <v>2025</v>
      </c>
      <c r="E83" s="2" t="s">
        <v>13</v>
      </c>
      <c r="F83" s="2" t="s">
        <v>14</v>
      </c>
      <c r="G83" s="2" t="s">
        <v>33</v>
      </c>
      <c r="H83">
        <v>1</v>
      </c>
      <c r="I83">
        <v>2000</v>
      </c>
      <c r="J83">
        <v>2000</v>
      </c>
      <c r="K83">
        <f>Table1_2[[#This Row],[Sales]]-Table1_2[[#This Row],[Cost]]</f>
        <v>0</v>
      </c>
    </row>
    <row r="84" spans="1:11" x14ac:dyDescent="0.35">
      <c r="A84" s="2" t="s">
        <v>105</v>
      </c>
      <c r="B84" s="1">
        <v>45991</v>
      </c>
      <c r="C84" s="2" t="s">
        <v>331</v>
      </c>
      <c r="D84">
        <v>2025</v>
      </c>
      <c r="E84" s="2" t="s">
        <v>13</v>
      </c>
      <c r="F84" s="2" t="s">
        <v>63</v>
      </c>
      <c r="G84" s="2" t="s">
        <v>33</v>
      </c>
      <c r="H84">
        <v>2</v>
      </c>
      <c r="I84">
        <v>1000</v>
      </c>
      <c r="J84">
        <v>2000</v>
      </c>
      <c r="K84">
        <f>Table1_2[[#This Row],[Sales]]-Table1_2[[#This Row],[Cost]]</f>
        <v>1000</v>
      </c>
    </row>
    <row r="85" spans="1:11" x14ac:dyDescent="0.35">
      <c r="A85" s="2" t="s">
        <v>106</v>
      </c>
      <c r="B85" s="1">
        <v>45955</v>
      </c>
      <c r="C85" s="2" t="s">
        <v>325</v>
      </c>
      <c r="D85">
        <v>2025</v>
      </c>
      <c r="E85" s="2" t="s">
        <v>9</v>
      </c>
      <c r="F85" s="2" t="s">
        <v>10</v>
      </c>
      <c r="G85" s="2" t="s">
        <v>19</v>
      </c>
      <c r="H85">
        <v>4</v>
      </c>
      <c r="I85">
        <v>500</v>
      </c>
      <c r="J85">
        <v>2000</v>
      </c>
      <c r="K85">
        <f>Table1_2[[#This Row],[Sales]]-Table1_2[[#This Row],[Cost]]</f>
        <v>1500</v>
      </c>
    </row>
    <row r="86" spans="1:11" x14ac:dyDescent="0.35">
      <c r="A86" s="2" t="s">
        <v>107</v>
      </c>
      <c r="B86" s="1">
        <v>45365</v>
      </c>
      <c r="C86" s="2" t="s">
        <v>333</v>
      </c>
      <c r="D86">
        <v>2024</v>
      </c>
      <c r="E86" s="2" t="s">
        <v>17</v>
      </c>
      <c r="F86" s="2" t="s">
        <v>18</v>
      </c>
      <c r="G86" s="2" t="s">
        <v>33</v>
      </c>
      <c r="H86">
        <v>5</v>
      </c>
      <c r="I86">
        <v>1200</v>
      </c>
      <c r="J86">
        <v>6000</v>
      </c>
      <c r="K86">
        <f>Table1_2[[#This Row],[Sales]]-Table1_2[[#This Row],[Cost]]</f>
        <v>4800</v>
      </c>
    </row>
    <row r="87" spans="1:11" x14ac:dyDescent="0.35">
      <c r="A87" s="2" t="s">
        <v>108</v>
      </c>
      <c r="B87" s="1">
        <v>45915</v>
      </c>
      <c r="C87" s="2" t="s">
        <v>328</v>
      </c>
      <c r="D87">
        <v>2025</v>
      </c>
      <c r="E87" s="2" t="s">
        <v>17</v>
      </c>
      <c r="F87" s="2" t="s">
        <v>18</v>
      </c>
      <c r="G87" s="2" t="s">
        <v>11</v>
      </c>
      <c r="H87">
        <v>2</v>
      </c>
      <c r="I87">
        <v>1200</v>
      </c>
      <c r="J87">
        <v>2400</v>
      </c>
      <c r="K87">
        <f>Table1_2[[#This Row],[Sales]]-Table1_2[[#This Row],[Cost]]</f>
        <v>1200</v>
      </c>
    </row>
    <row r="88" spans="1:11" x14ac:dyDescent="0.35">
      <c r="A88" s="2" t="s">
        <v>109</v>
      </c>
      <c r="B88" s="1">
        <v>45942</v>
      </c>
      <c r="C88" s="2" t="s">
        <v>325</v>
      </c>
      <c r="D88">
        <v>2025</v>
      </c>
      <c r="E88" s="2" t="s">
        <v>9</v>
      </c>
      <c r="F88" s="2" t="s">
        <v>10</v>
      </c>
      <c r="G88" s="2" t="s">
        <v>19</v>
      </c>
      <c r="H88">
        <v>3</v>
      </c>
      <c r="I88">
        <v>500</v>
      </c>
      <c r="J88">
        <v>1500</v>
      </c>
      <c r="K88">
        <f>Table1_2[[#This Row],[Sales]]-Table1_2[[#This Row],[Cost]]</f>
        <v>1000</v>
      </c>
    </row>
    <row r="89" spans="1:11" x14ac:dyDescent="0.35">
      <c r="A89" s="2" t="s">
        <v>110</v>
      </c>
      <c r="B89" s="1">
        <v>45467</v>
      </c>
      <c r="C89" s="2" t="s">
        <v>335</v>
      </c>
      <c r="D89">
        <v>2024</v>
      </c>
      <c r="E89" s="2" t="s">
        <v>13</v>
      </c>
      <c r="F89" s="2" t="s">
        <v>14</v>
      </c>
      <c r="G89" s="2" t="s">
        <v>15</v>
      </c>
      <c r="H89">
        <v>3</v>
      </c>
      <c r="I89">
        <v>2000</v>
      </c>
      <c r="J89">
        <v>6000</v>
      </c>
      <c r="K89">
        <f>Table1_2[[#This Row],[Sales]]-Table1_2[[#This Row],[Cost]]</f>
        <v>4000</v>
      </c>
    </row>
    <row r="90" spans="1:11" x14ac:dyDescent="0.35">
      <c r="A90" s="2" t="s">
        <v>111</v>
      </c>
      <c r="B90" s="1">
        <v>45838</v>
      </c>
      <c r="C90" s="2" t="s">
        <v>335</v>
      </c>
      <c r="D90">
        <v>2025</v>
      </c>
      <c r="E90" s="2" t="s">
        <v>13</v>
      </c>
      <c r="F90" s="2" t="s">
        <v>63</v>
      </c>
      <c r="G90" s="2" t="s">
        <v>15</v>
      </c>
      <c r="H90">
        <v>2</v>
      </c>
      <c r="I90">
        <v>1000</v>
      </c>
      <c r="J90">
        <v>2000</v>
      </c>
      <c r="K90">
        <f>Table1_2[[#This Row],[Sales]]-Table1_2[[#This Row],[Cost]]</f>
        <v>1000</v>
      </c>
    </row>
    <row r="91" spans="1:11" x14ac:dyDescent="0.35">
      <c r="A91" s="2" t="s">
        <v>112</v>
      </c>
      <c r="B91" s="1">
        <v>45542</v>
      </c>
      <c r="C91" s="2" t="s">
        <v>328</v>
      </c>
      <c r="D91">
        <v>2024</v>
      </c>
      <c r="E91" s="2" t="s">
        <v>13</v>
      </c>
      <c r="F91" s="2" t="s">
        <v>14</v>
      </c>
      <c r="G91" s="2" t="s">
        <v>15</v>
      </c>
      <c r="H91">
        <v>2</v>
      </c>
      <c r="I91">
        <v>2000</v>
      </c>
      <c r="J91">
        <v>4000</v>
      </c>
      <c r="K91">
        <f>Table1_2[[#This Row],[Sales]]-Table1_2[[#This Row],[Cost]]</f>
        <v>2000</v>
      </c>
    </row>
    <row r="92" spans="1:11" x14ac:dyDescent="0.35">
      <c r="A92" s="2" t="s">
        <v>113</v>
      </c>
      <c r="B92" s="1">
        <v>45459</v>
      </c>
      <c r="C92" s="2" t="s">
        <v>335</v>
      </c>
      <c r="D92">
        <v>2024</v>
      </c>
      <c r="E92" s="2" t="s">
        <v>13</v>
      </c>
      <c r="F92" s="2" t="s">
        <v>21</v>
      </c>
      <c r="G92" s="2" t="s">
        <v>11</v>
      </c>
      <c r="H92">
        <v>1</v>
      </c>
      <c r="I92">
        <v>1500</v>
      </c>
      <c r="J92">
        <v>1500</v>
      </c>
      <c r="K92">
        <f>Table1_2[[#This Row],[Sales]]-Table1_2[[#This Row],[Cost]]</f>
        <v>0</v>
      </c>
    </row>
    <row r="93" spans="1:11" x14ac:dyDescent="0.35">
      <c r="A93" s="2" t="s">
        <v>114</v>
      </c>
      <c r="B93" s="1">
        <v>45765</v>
      </c>
      <c r="C93" s="2" t="s">
        <v>326</v>
      </c>
      <c r="D93">
        <v>2025</v>
      </c>
      <c r="E93" s="2" t="s">
        <v>9</v>
      </c>
      <c r="F93" s="2" t="s">
        <v>35</v>
      </c>
      <c r="G93" s="2" t="s">
        <v>11</v>
      </c>
      <c r="H93">
        <v>2</v>
      </c>
      <c r="I93">
        <v>700</v>
      </c>
      <c r="J93">
        <v>1400</v>
      </c>
      <c r="K93">
        <f>Table1_2[[#This Row],[Sales]]-Table1_2[[#This Row],[Cost]]</f>
        <v>700</v>
      </c>
    </row>
    <row r="94" spans="1:11" x14ac:dyDescent="0.35">
      <c r="A94" s="2" t="s">
        <v>115</v>
      </c>
      <c r="B94" s="1">
        <v>45680</v>
      </c>
      <c r="C94" s="2" t="s">
        <v>327</v>
      </c>
      <c r="D94">
        <v>2025</v>
      </c>
      <c r="E94" s="2" t="s">
        <v>9</v>
      </c>
      <c r="F94" s="2" t="s">
        <v>27</v>
      </c>
      <c r="G94" s="2" t="s">
        <v>11</v>
      </c>
      <c r="H94">
        <v>2</v>
      </c>
      <c r="I94">
        <v>2500</v>
      </c>
      <c r="J94">
        <v>5000</v>
      </c>
      <c r="K94">
        <f>Table1_2[[#This Row],[Sales]]-Table1_2[[#This Row],[Cost]]</f>
        <v>2500</v>
      </c>
    </row>
    <row r="95" spans="1:11" x14ac:dyDescent="0.35">
      <c r="A95" s="2" t="s">
        <v>116</v>
      </c>
      <c r="B95" s="1">
        <v>45568</v>
      </c>
      <c r="C95" s="2" t="s">
        <v>325</v>
      </c>
      <c r="D95">
        <v>2024</v>
      </c>
      <c r="E95" s="2" t="s">
        <v>9</v>
      </c>
      <c r="F95" s="2" t="s">
        <v>35</v>
      </c>
      <c r="G95" s="2" t="s">
        <v>19</v>
      </c>
      <c r="H95">
        <v>2</v>
      </c>
      <c r="I95">
        <v>700</v>
      </c>
      <c r="J95">
        <v>1400</v>
      </c>
      <c r="K95">
        <f>Table1_2[[#This Row],[Sales]]-Table1_2[[#This Row],[Cost]]</f>
        <v>700</v>
      </c>
    </row>
    <row r="96" spans="1:11" x14ac:dyDescent="0.35">
      <c r="A96" s="2" t="s">
        <v>117</v>
      </c>
      <c r="B96" s="1">
        <v>45947</v>
      </c>
      <c r="C96" s="2" t="s">
        <v>325</v>
      </c>
      <c r="D96">
        <v>2025</v>
      </c>
      <c r="E96" s="2" t="s">
        <v>17</v>
      </c>
      <c r="F96" s="2" t="s">
        <v>18</v>
      </c>
      <c r="G96" s="2" t="s">
        <v>19</v>
      </c>
      <c r="H96">
        <v>2</v>
      </c>
      <c r="I96">
        <v>1200</v>
      </c>
      <c r="J96">
        <v>2400</v>
      </c>
      <c r="K96">
        <f>Table1_2[[#This Row],[Sales]]-Table1_2[[#This Row],[Cost]]</f>
        <v>1200</v>
      </c>
    </row>
    <row r="97" spans="1:11" x14ac:dyDescent="0.35">
      <c r="A97" s="2" t="s">
        <v>118</v>
      </c>
      <c r="B97" s="1">
        <v>45996</v>
      </c>
      <c r="C97" s="2" t="s">
        <v>336</v>
      </c>
      <c r="D97">
        <v>2025</v>
      </c>
      <c r="E97" s="2" t="s">
        <v>17</v>
      </c>
      <c r="F97" s="2" t="s">
        <v>18</v>
      </c>
      <c r="G97" s="2" t="s">
        <v>15</v>
      </c>
      <c r="H97">
        <v>2</v>
      </c>
      <c r="I97">
        <v>1200</v>
      </c>
      <c r="J97">
        <v>2400</v>
      </c>
      <c r="K97">
        <f>Table1_2[[#This Row],[Sales]]-Table1_2[[#This Row],[Cost]]</f>
        <v>1200</v>
      </c>
    </row>
    <row r="98" spans="1:11" x14ac:dyDescent="0.35">
      <c r="A98" s="2" t="s">
        <v>119</v>
      </c>
      <c r="B98" s="1">
        <v>45862</v>
      </c>
      <c r="C98" s="2" t="s">
        <v>332</v>
      </c>
      <c r="D98">
        <v>2025</v>
      </c>
      <c r="E98" s="2" t="s">
        <v>17</v>
      </c>
      <c r="F98" s="2" t="s">
        <v>18</v>
      </c>
      <c r="G98" s="2" t="s">
        <v>19</v>
      </c>
      <c r="H98">
        <v>2</v>
      </c>
      <c r="I98">
        <v>1200</v>
      </c>
      <c r="J98">
        <v>2400</v>
      </c>
      <c r="K98">
        <f>Table1_2[[#This Row],[Sales]]-Table1_2[[#This Row],[Cost]]</f>
        <v>1200</v>
      </c>
    </row>
    <row r="99" spans="1:11" x14ac:dyDescent="0.35">
      <c r="A99" s="2" t="s">
        <v>120</v>
      </c>
      <c r="B99" s="1">
        <v>45516</v>
      </c>
      <c r="C99" s="2" t="s">
        <v>329</v>
      </c>
      <c r="D99">
        <v>2024</v>
      </c>
      <c r="E99" s="2" t="s">
        <v>9</v>
      </c>
      <c r="F99" s="2" t="s">
        <v>35</v>
      </c>
      <c r="G99" s="2" t="s">
        <v>15</v>
      </c>
      <c r="H99">
        <v>2</v>
      </c>
      <c r="I99">
        <v>700</v>
      </c>
      <c r="J99">
        <v>1400</v>
      </c>
      <c r="K99">
        <f>Table1_2[[#This Row],[Sales]]-Table1_2[[#This Row],[Cost]]</f>
        <v>700</v>
      </c>
    </row>
    <row r="100" spans="1:11" x14ac:dyDescent="0.35">
      <c r="A100" s="2" t="s">
        <v>121</v>
      </c>
      <c r="B100" s="1">
        <v>45993</v>
      </c>
      <c r="C100" s="2" t="s">
        <v>336</v>
      </c>
      <c r="D100">
        <v>2025</v>
      </c>
      <c r="E100" s="2" t="s">
        <v>17</v>
      </c>
      <c r="F100" s="2" t="s">
        <v>18</v>
      </c>
      <c r="G100" s="2" t="s">
        <v>33</v>
      </c>
      <c r="H100">
        <v>2</v>
      </c>
      <c r="I100">
        <v>1200</v>
      </c>
      <c r="J100">
        <v>2400</v>
      </c>
      <c r="K100">
        <f>Table1_2[[#This Row],[Sales]]-Table1_2[[#This Row],[Cost]]</f>
        <v>1200</v>
      </c>
    </row>
    <row r="101" spans="1:11" x14ac:dyDescent="0.35">
      <c r="A101" s="2" t="s">
        <v>122</v>
      </c>
      <c r="B101" s="1">
        <v>45624</v>
      </c>
      <c r="C101" s="2" t="s">
        <v>331</v>
      </c>
      <c r="D101">
        <v>2024</v>
      </c>
      <c r="E101" s="2" t="s">
        <v>9</v>
      </c>
      <c r="F101" s="2" t="s">
        <v>27</v>
      </c>
      <c r="G101" s="2" t="s">
        <v>11</v>
      </c>
      <c r="H101">
        <v>4</v>
      </c>
      <c r="I101">
        <v>2500</v>
      </c>
      <c r="J101">
        <v>10000</v>
      </c>
      <c r="K101">
        <f>Table1_2[[#This Row],[Sales]]-Table1_2[[#This Row],[Cost]]</f>
        <v>7500</v>
      </c>
    </row>
    <row r="102" spans="1:11" x14ac:dyDescent="0.35">
      <c r="A102" s="2" t="s">
        <v>123</v>
      </c>
      <c r="B102" s="1">
        <v>45349</v>
      </c>
      <c r="C102" s="2" t="s">
        <v>334</v>
      </c>
      <c r="D102">
        <v>2024</v>
      </c>
      <c r="E102" s="2" t="s">
        <v>13</v>
      </c>
      <c r="F102" s="2" t="s">
        <v>63</v>
      </c>
      <c r="G102" s="2" t="s">
        <v>11</v>
      </c>
      <c r="H102">
        <v>2</v>
      </c>
      <c r="I102">
        <v>1000</v>
      </c>
      <c r="J102">
        <v>2000</v>
      </c>
      <c r="K102">
        <f>Table1_2[[#This Row],[Sales]]-Table1_2[[#This Row],[Cost]]</f>
        <v>1000</v>
      </c>
    </row>
    <row r="103" spans="1:11" x14ac:dyDescent="0.35">
      <c r="A103" s="2" t="s">
        <v>124</v>
      </c>
      <c r="B103" s="1">
        <v>45526</v>
      </c>
      <c r="C103" s="2" t="s">
        <v>329</v>
      </c>
      <c r="D103">
        <v>2024</v>
      </c>
      <c r="E103" s="2" t="s">
        <v>9</v>
      </c>
      <c r="F103" s="2" t="s">
        <v>29</v>
      </c>
      <c r="G103" s="2" t="s">
        <v>33</v>
      </c>
      <c r="H103">
        <v>5</v>
      </c>
      <c r="I103">
        <v>1200</v>
      </c>
      <c r="J103">
        <v>6000</v>
      </c>
      <c r="K103">
        <f>Table1_2[[#This Row],[Sales]]-Table1_2[[#This Row],[Cost]]</f>
        <v>4800</v>
      </c>
    </row>
    <row r="104" spans="1:11" x14ac:dyDescent="0.35">
      <c r="A104" s="2" t="s">
        <v>125</v>
      </c>
      <c r="B104" s="1">
        <v>45324</v>
      </c>
      <c r="C104" s="2" t="s">
        <v>334</v>
      </c>
      <c r="D104">
        <v>2024</v>
      </c>
      <c r="E104" s="2" t="s">
        <v>13</v>
      </c>
      <c r="F104" s="2" t="s">
        <v>21</v>
      </c>
      <c r="G104" s="2" t="s">
        <v>15</v>
      </c>
      <c r="H104">
        <v>1</v>
      </c>
      <c r="I104">
        <v>1500</v>
      </c>
      <c r="J104">
        <v>1500</v>
      </c>
      <c r="K104">
        <f>Table1_2[[#This Row],[Sales]]-Table1_2[[#This Row],[Cost]]</f>
        <v>0</v>
      </c>
    </row>
    <row r="105" spans="1:11" x14ac:dyDescent="0.35">
      <c r="A105" s="2" t="s">
        <v>126</v>
      </c>
      <c r="B105" s="1">
        <v>45615</v>
      </c>
      <c r="C105" s="2" t="s">
        <v>331</v>
      </c>
      <c r="D105">
        <v>2024</v>
      </c>
      <c r="E105" s="2" t="s">
        <v>13</v>
      </c>
      <c r="F105" s="2" t="s">
        <v>63</v>
      </c>
      <c r="G105" s="2" t="s">
        <v>11</v>
      </c>
      <c r="H105">
        <v>2</v>
      </c>
      <c r="I105">
        <v>1000</v>
      </c>
      <c r="J105">
        <v>2000</v>
      </c>
      <c r="K105">
        <f>Table1_2[[#This Row],[Sales]]-Table1_2[[#This Row],[Cost]]</f>
        <v>1000</v>
      </c>
    </row>
    <row r="106" spans="1:11" x14ac:dyDescent="0.35">
      <c r="A106" s="2" t="s">
        <v>127</v>
      </c>
      <c r="B106" s="1">
        <v>45702</v>
      </c>
      <c r="C106" s="2" t="s">
        <v>334</v>
      </c>
      <c r="D106">
        <v>2025</v>
      </c>
      <c r="E106" s="2" t="s">
        <v>13</v>
      </c>
      <c r="F106" s="2" t="s">
        <v>14</v>
      </c>
      <c r="G106" s="2" t="s">
        <v>19</v>
      </c>
      <c r="H106">
        <v>2</v>
      </c>
      <c r="I106">
        <v>2000</v>
      </c>
      <c r="J106">
        <v>4000</v>
      </c>
      <c r="K106">
        <f>Table1_2[[#This Row],[Sales]]-Table1_2[[#This Row],[Cost]]</f>
        <v>2000</v>
      </c>
    </row>
    <row r="107" spans="1:11" x14ac:dyDescent="0.35">
      <c r="A107" s="2" t="s">
        <v>128</v>
      </c>
      <c r="B107" s="1">
        <v>45566</v>
      </c>
      <c r="C107" s="2" t="s">
        <v>325</v>
      </c>
      <c r="D107">
        <v>2024</v>
      </c>
      <c r="E107" s="2" t="s">
        <v>9</v>
      </c>
      <c r="F107" s="2" t="s">
        <v>29</v>
      </c>
      <c r="G107" s="2" t="s">
        <v>33</v>
      </c>
      <c r="H107">
        <v>3</v>
      </c>
      <c r="I107">
        <v>1200</v>
      </c>
      <c r="J107">
        <v>3600</v>
      </c>
      <c r="K107">
        <f>Table1_2[[#This Row],[Sales]]-Table1_2[[#This Row],[Cost]]</f>
        <v>2400</v>
      </c>
    </row>
    <row r="108" spans="1:11" x14ac:dyDescent="0.35">
      <c r="A108" s="2" t="s">
        <v>129</v>
      </c>
      <c r="B108" s="1">
        <v>45359</v>
      </c>
      <c r="C108" s="2" t="s">
        <v>333</v>
      </c>
      <c r="D108">
        <v>2024</v>
      </c>
      <c r="E108" s="2" t="s">
        <v>13</v>
      </c>
      <c r="F108" s="2" t="s">
        <v>63</v>
      </c>
      <c r="G108" s="2" t="s">
        <v>15</v>
      </c>
      <c r="H108">
        <v>3</v>
      </c>
      <c r="I108">
        <v>1000</v>
      </c>
      <c r="J108">
        <v>3000</v>
      </c>
      <c r="K108">
        <f>Table1_2[[#This Row],[Sales]]-Table1_2[[#This Row],[Cost]]</f>
        <v>2000</v>
      </c>
    </row>
    <row r="109" spans="1:11" x14ac:dyDescent="0.35">
      <c r="A109" s="2" t="s">
        <v>130</v>
      </c>
      <c r="B109" s="1">
        <v>45508</v>
      </c>
      <c r="C109" s="2" t="s">
        <v>329</v>
      </c>
      <c r="D109">
        <v>2024</v>
      </c>
      <c r="E109" s="2" t="s">
        <v>9</v>
      </c>
      <c r="F109" s="2" t="s">
        <v>35</v>
      </c>
      <c r="G109" s="2" t="s">
        <v>15</v>
      </c>
      <c r="H109">
        <v>4</v>
      </c>
      <c r="I109">
        <v>700</v>
      </c>
      <c r="J109">
        <v>2800</v>
      </c>
      <c r="K109">
        <f>Table1_2[[#This Row],[Sales]]-Table1_2[[#This Row],[Cost]]</f>
        <v>2100</v>
      </c>
    </row>
    <row r="110" spans="1:11" x14ac:dyDescent="0.35">
      <c r="A110" s="2" t="s">
        <v>131</v>
      </c>
      <c r="B110" s="1">
        <v>45872</v>
      </c>
      <c r="C110" s="2" t="s">
        <v>329</v>
      </c>
      <c r="D110">
        <v>2025</v>
      </c>
      <c r="E110" s="2" t="s">
        <v>9</v>
      </c>
      <c r="F110" s="2" t="s">
        <v>29</v>
      </c>
      <c r="G110" s="2" t="s">
        <v>33</v>
      </c>
      <c r="H110">
        <v>5</v>
      </c>
      <c r="I110">
        <v>1200</v>
      </c>
      <c r="J110">
        <v>6000</v>
      </c>
      <c r="K110">
        <f>Table1_2[[#This Row],[Sales]]-Table1_2[[#This Row],[Cost]]</f>
        <v>4800</v>
      </c>
    </row>
    <row r="111" spans="1:11" x14ac:dyDescent="0.35">
      <c r="A111" s="2" t="s">
        <v>132</v>
      </c>
      <c r="B111" s="1">
        <v>45614</v>
      </c>
      <c r="C111" s="2" t="s">
        <v>331</v>
      </c>
      <c r="D111">
        <v>2024</v>
      </c>
      <c r="E111" s="2" t="s">
        <v>9</v>
      </c>
      <c r="F111" s="2" t="s">
        <v>27</v>
      </c>
      <c r="G111" s="2" t="s">
        <v>15</v>
      </c>
      <c r="H111">
        <v>2</v>
      </c>
      <c r="I111">
        <v>2500</v>
      </c>
      <c r="J111">
        <v>5000</v>
      </c>
      <c r="K111">
        <f>Table1_2[[#This Row],[Sales]]-Table1_2[[#This Row],[Cost]]</f>
        <v>2500</v>
      </c>
    </row>
    <row r="112" spans="1:11" x14ac:dyDescent="0.35">
      <c r="A112" s="2" t="s">
        <v>133</v>
      </c>
      <c r="B112" s="1">
        <v>45509</v>
      </c>
      <c r="C112" s="2" t="s">
        <v>329</v>
      </c>
      <c r="D112">
        <v>2024</v>
      </c>
      <c r="E112" s="2" t="s">
        <v>13</v>
      </c>
      <c r="F112" s="2" t="s">
        <v>21</v>
      </c>
      <c r="G112" s="2" t="s">
        <v>15</v>
      </c>
      <c r="H112">
        <v>3</v>
      </c>
      <c r="I112">
        <v>1500</v>
      </c>
      <c r="J112">
        <v>4500</v>
      </c>
      <c r="K112">
        <f>Table1_2[[#This Row],[Sales]]-Table1_2[[#This Row],[Cost]]</f>
        <v>3000</v>
      </c>
    </row>
    <row r="113" spans="1:11" x14ac:dyDescent="0.35">
      <c r="A113" s="2" t="s">
        <v>134</v>
      </c>
      <c r="B113" s="1">
        <v>45963</v>
      </c>
      <c r="C113" s="2" t="s">
        <v>331</v>
      </c>
      <c r="D113">
        <v>2025</v>
      </c>
      <c r="E113" s="2" t="s">
        <v>13</v>
      </c>
      <c r="F113" s="2" t="s">
        <v>63</v>
      </c>
      <c r="G113" s="2" t="s">
        <v>15</v>
      </c>
      <c r="H113">
        <v>5</v>
      </c>
      <c r="I113">
        <v>1000</v>
      </c>
      <c r="J113">
        <v>5000</v>
      </c>
      <c r="K113">
        <f>Table1_2[[#This Row],[Sales]]-Table1_2[[#This Row],[Cost]]</f>
        <v>4000</v>
      </c>
    </row>
    <row r="114" spans="1:11" x14ac:dyDescent="0.35">
      <c r="A114" s="2" t="s">
        <v>135</v>
      </c>
      <c r="B114" s="1">
        <v>45803</v>
      </c>
      <c r="C114" s="2" t="s">
        <v>330</v>
      </c>
      <c r="D114">
        <v>2025</v>
      </c>
      <c r="E114" s="2" t="s">
        <v>9</v>
      </c>
      <c r="F114" s="2" t="s">
        <v>27</v>
      </c>
      <c r="G114" s="2" t="s">
        <v>11</v>
      </c>
      <c r="H114">
        <v>3</v>
      </c>
      <c r="I114">
        <v>2500</v>
      </c>
      <c r="J114">
        <v>7500</v>
      </c>
      <c r="K114">
        <f>Table1_2[[#This Row],[Sales]]-Table1_2[[#This Row],[Cost]]</f>
        <v>5000</v>
      </c>
    </row>
    <row r="115" spans="1:11" x14ac:dyDescent="0.35">
      <c r="A115" s="2" t="s">
        <v>136</v>
      </c>
      <c r="B115" s="1">
        <v>45697</v>
      </c>
      <c r="C115" s="2" t="s">
        <v>334</v>
      </c>
      <c r="D115">
        <v>2025</v>
      </c>
      <c r="E115" s="2" t="s">
        <v>17</v>
      </c>
      <c r="F115" s="2" t="s">
        <v>18</v>
      </c>
      <c r="G115" s="2" t="s">
        <v>33</v>
      </c>
      <c r="H115">
        <v>3</v>
      </c>
      <c r="I115">
        <v>1200</v>
      </c>
      <c r="J115">
        <v>3600</v>
      </c>
      <c r="K115">
        <f>Table1_2[[#This Row],[Sales]]-Table1_2[[#This Row],[Cost]]</f>
        <v>2400</v>
      </c>
    </row>
    <row r="116" spans="1:11" x14ac:dyDescent="0.35">
      <c r="A116" s="2" t="s">
        <v>137</v>
      </c>
      <c r="B116" s="1">
        <v>45950</v>
      </c>
      <c r="C116" s="2" t="s">
        <v>325</v>
      </c>
      <c r="D116">
        <v>2025</v>
      </c>
      <c r="E116" s="2" t="s">
        <v>9</v>
      </c>
      <c r="F116" s="2" t="s">
        <v>10</v>
      </c>
      <c r="G116" s="2" t="s">
        <v>33</v>
      </c>
      <c r="H116">
        <v>7</v>
      </c>
      <c r="I116">
        <v>500</v>
      </c>
      <c r="J116">
        <v>3500</v>
      </c>
      <c r="K116">
        <f>Table1_2[[#This Row],[Sales]]-Table1_2[[#This Row],[Cost]]</f>
        <v>3000</v>
      </c>
    </row>
    <row r="117" spans="1:11" x14ac:dyDescent="0.35">
      <c r="A117" s="2" t="s">
        <v>138</v>
      </c>
      <c r="B117" s="1">
        <v>45761</v>
      </c>
      <c r="C117" s="2" t="s">
        <v>326</v>
      </c>
      <c r="D117">
        <v>2025</v>
      </c>
      <c r="E117" s="2" t="s">
        <v>9</v>
      </c>
      <c r="F117" s="2" t="s">
        <v>35</v>
      </c>
      <c r="G117" s="2" t="s">
        <v>15</v>
      </c>
      <c r="H117">
        <v>5</v>
      </c>
      <c r="I117">
        <v>700</v>
      </c>
      <c r="J117">
        <v>3500</v>
      </c>
      <c r="K117">
        <f>Table1_2[[#This Row],[Sales]]-Table1_2[[#This Row],[Cost]]</f>
        <v>2800</v>
      </c>
    </row>
    <row r="118" spans="1:11" x14ac:dyDescent="0.35">
      <c r="A118" s="2" t="s">
        <v>139</v>
      </c>
      <c r="B118" s="1">
        <v>45438</v>
      </c>
      <c r="C118" s="2" t="s">
        <v>330</v>
      </c>
      <c r="D118">
        <v>2024</v>
      </c>
      <c r="E118" s="2" t="s">
        <v>13</v>
      </c>
      <c r="F118" s="2" t="s">
        <v>63</v>
      </c>
      <c r="G118" s="2" t="s">
        <v>19</v>
      </c>
      <c r="H118">
        <v>5</v>
      </c>
      <c r="I118">
        <v>1000</v>
      </c>
      <c r="J118">
        <v>5000</v>
      </c>
      <c r="K118">
        <f>Table1_2[[#This Row],[Sales]]-Table1_2[[#This Row],[Cost]]</f>
        <v>4000</v>
      </c>
    </row>
    <row r="119" spans="1:11" x14ac:dyDescent="0.35">
      <c r="A119" s="2" t="s">
        <v>140</v>
      </c>
      <c r="B119" s="1">
        <v>45563</v>
      </c>
      <c r="C119" s="2" t="s">
        <v>328</v>
      </c>
      <c r="D119">
        <v>2024</v>
      </c>
      <c r="E119" s="2" t="s">
        <v>17</v>
      </c>
      <c r="F119" s="2" t="s">
        <v>18</v>
      </c>
      <c r="G119" s="2" t="s">
        <v>33</v>
      </c>
      <c r="H119">
        <v>1</v>
      </c>
      <c r="I119">
        <v>1200</v>
      </c>
      <c r="J119">
        <v>1200</v>
      </c>
      <c r="K119">
        <f>Table1_2[[#This Row],[Sales]]-Table1_2[[#This Row],[Cost]]</f>
        <v>0</v>
      </c>
    </row>
    <row r="120" spans="1:11" x14ac:dyDescent="0.35">
      <c r="A120" s="2" t="s">
        <v>141</v>
      </c>
      <c r="B120" s="1">
        <v>45434</v>
      </c>
      <c r="C120" s="2" t="s">
        <v>330</v>
      </c>
      <c r="D120">
        <v>2024</v>
      </c>
      <c r="E120" s="2" t="s">
        <v>17</v>
      </c>
      <c r="F120" s="2" t="s">
        <v>18</v>
      </c>
      <c r="G120" s="2" t="s">
        <v>33</v>
      </c>
      <c r="H120">
        <v>2</v>
      </c>
      <c r="I120">
        <v>1200</v>
      </c>
      <c r="J120">
        <v>2400</v>
      </c>
      <c r="K120">
        <f>Table1_2[[#This Row],[Sales]]-Table1_2[[#This Row],[Cost]]</f>
        <v>1200</v>
      </c>
    </row>
    <row r="121" spans="1:11" x14ac:dyDescent="0.35">
      <c r="A121" s="2" t="s">
        <v>142</v>
      </c>
      <c r="B121" s="1">
        <v>45544</v>
      </c>
      <c r="C121" s="2" t="s">
        <v>328</v>
      </c>
      <c r="D121">
        <v>2024</v>
      </c>
      <c r="E121" s="2" t="s">
        <v>13</v>
      </c>
      <c r="F121" s="2" t="s">
        <v>14</v>
      </c>
      <c r="G121" s="2" t="s">
        <v>33</v>
      </c>
      <c r="H121">
        <v>3</v>
      </c>
      <c r="I121">
        <v>2000</v>
      </c>
      <c r="J121">
        <v>3000</v>
      </c>
      <c r="K121">
        <f>Table1_2[[#This Row],[Sales]]-Table1_2[[#This Row],[Cost]]</f>
        <v>1000</v>
      </c>
    </row>
    <row r="122" spans="1:11" x14ac:dyDescent="0.35">
      <c r="A122" s="2" t="s">
        <v>143</v>
      </c>
      <c r="B122" s="1">
        <v>45866</v>
      </c>
      <c r="C122" s="2" t="s">
        <v>332</v>
      </c>
      <c r="D122">
        <v>2025</v>
      </c>
      <c r="E122" s="2" t="s">
        <v>13</v>
      </c>
      <c r="F122" s="2" t="s">
        <v>63</v>
      </c>
      <c r="G122" s="2" t="s">
        <v>19</v>
      </c>
      <c r="H122">
        <v>5</v>
      </c>
      <c r="I122">
        <v>1000</v>
      </c>
      <c r="J122">
        <v>5000</v>
      </c>
      <c r="K122">
        <f>Table1_2[[#This Row],[Sales]]-Table1_2[[#This Row],[Cost]]</f>
        <v>4000</v>
      </c>
    </row>
    <row r="123" spans="1:11" x14ac:dyDescent="0.35">
      <c r="A123" s="2" t="s">
        <v>144</v>
      </c>
      <c r="B123" s="1">
        <v>45843</v>
      </c>
      <c r="C123" s="2" t="s">
        <v>332</v>
      </c>
      <c r="D123">
        <v>2025</v>
      </c>
      <c r="E123" s="2" t="s">
        <v>17</v>
      </c>
      <c r="F123" s="2" t="s">
        <v>18</v>
      </c>
      <c r="G123" s="2" t="s">
        <v>15</v>
      </c>
      <c r="H123">
        <v>4</v>
      </c>
      <c r="I123">
        <v>1200</v>
      </c>
      <c r="J123">
        <v>4800</v>
      </c>
      <c r="K123">
        <f>Table1_2[[#This Row],[Sales]]-Table1_2[[#This Row],[Cost]]</f>
        <v>3600</v>
      </c>
    </row>
    <row r="124" spans="1:11" x14ac:dyDescent="0.35">
      <c r="A124" s="2" t="s">
        <v>145</v>
      </c>
      <c r="B124" s="1">
        <v>45561</v>
      </c>
      <c r="C124" s="2" t="s">
        <v>328</v>
      </c>
      <c r="D124">
        <v>2024</v>
      </c>
      <c r="E124" s="2" t="s">
        <v>17</v>
      </c>
      <c r="F124" s="2" t="s">
        <v>18</v>
      </c>
      <c r="G124" s="2" t="s">
        <v>19</v>
      </c>
      <c r="H124">
        <v>2</v>
      </c>
      <c r="I124">
        <v>1200</v>
      </c>
      <c r="J124">
        <v>2400</v>
      </c>
      <c r="K124">
        <f>Table1_2[[#This Row],[Sales]]-Table1_2[[#This Row],[Cost]]</f>
        <v>1200</v>
      </c>
    </row>
    <row r="125" spans="1:11" x14ac:dyDescent="0.35">
      <c r="A125" s="2" t="s">
        <v>146</v>
      </c>
      <c r="B125" s="1">
        <v>45890</v>
      </c>
      <c r="C125" s="2" t="s">
        <v>329</v>
      </c>
      <c r="D125">
        <v>2025</v>
      </c>
      <c r="E125" s="2" t="s">
        <v>17</v>
      </c>
      <c r="F125" s="2" t="s">
        <v>18</v>
      </c>
      <c r="G125" s="2" t="s">
        <v>15</v>
      </c>
      <c r="H125">
        <v>5</v>
      </c>
      <c r="I125">
        <v>1200</v>
      </c>
      <c r="J125">
        <v>6000</v>
      </c>
      <c r="K125">
        <f>Table1_2[[#This Row],[Sales]]-Table1_2[[#This Row],[Cost]]</f>
        <v>4800</v>
      </c>
    </row>
    <row r="126" spans="1:11" x14ac:dyDescent="0.35">
      <c r="A126" s="2" t="s">
        <v>147</v>
      </c>
      <c r="B126" s="1">
        <v>45730</v>
      </c>
      <c r="C126" s="2" t="s">
        <v>333</v>
      </c>
      <c r="D126">
        <v>2025</v>
      </c>
      <c r="E126" s="2" t="s">
        <v>17</v>
      </c>
      <c r="F126" s="2" t="s">
        <v>18</v>
      </c>
      <c r="G126" s="2" t="s">
        <v>11</v>
      </c>
      <c r="H126">
        <v>5</v>
      </c>
      <c r="I126">
        <v>1200</v>
      </c>
      <c r="J126">
        <v>6000</v>
      </c>
      <c r="K126">
        <f>Table1_2[[#This Row],[Sales]]-Table1_2[[#This Row],[Cost]]</f>
        <v>4800</v>
      </c>
    </row>
    <row r="127" spans="1:11" x14ac:dyDescent="0.35">
      <c r="A127" s="2" t="s">
        <v>148</v>
      </c>
      <c r="B127" s="1">
        <v>45889</v>
      </c>
      <c r="C127" s="2" t="s">
        <v>329</v>
      </c>
      <c r="D127">
        <v>2025</v>
      </c>
      <c r="E127" s="2" t="s">
        <v>13</v>
      </c>
      <c r="F127" s="2" t="s">
        <v>21</v>
      </c>
      <c r="G127" s="2" t="s">
        <v>15</v>
      </c>
      <c r="H127">
        <v>2</v>
      </c>
      <c r="I127">
        <v>1500</v>
      </c>
      <c r="J127">
        <v>3000</v>
      </c>
      <c r="K127">
        <f>Table1_2[[#This Row],[Sales]]-Table1_2[[#This Row],[Cost]]</f>
        <v>1500</v>
      </c>
    </row>
    <row r="128" spans="1:11" x14ac:dyDescent="0.35">
      <c r="A128" s="2" t="s">
        <v>149</v>
      </c>
      <c r="B128" s="1">
        <v>45700</v>
      </c>
      <c r="C128" s="2" t="s">
        <v>334</v>
      </c>
      <c r="D128">
        <v>2025</v>
      </c>
      <c r="E128" s="2" t="s">
        <v>13</v>
      </c>
      <c r="F128" s="2" t="s">
        <v>14</v>
      </c>
      <c r="G128" s="2" t="s">
        <v>19</v>
      </c>
      <c r="H128">
        <v>4</v>
      </c>
      <c r="I128">
        <v>2000</v>
      </c>
      <c r="J128">
        <v>8000</v>
      </c>
      <c r="K128">
        <f>Table1_2[[#This Row],[Sales]]-Table1_2[[#This Row],[Cost]]</f>
        <v>6000</v>
      </c>
    </row>
    <row r="129" spans="1:11" x14ac:dyDescent="0.35">
      <c r="A129" s="2" t="s">
        <v>150</v>
      </c>
      <c r="B129" s="1">
        <v>45662</v>
      </c>
      <c r="C129" s="2" t="s">
        <v>327</v>
      </c>
      <c r="D129">
        <v>2025</v>
      </c>
      <c r="E129" s="2" t="s">
        <v>9</v>
      </c>
      <c r="F129" s="2" t="s">
        <v>35</v>
      </c>
      <c r="G129" s="2" t="s">
        <v>15</v>
      </c>
      <c r="H129">
        <v>3</v>
      </c>
      <c r="I129">
        <v>700</v>
      </c>
      <c r="J129">
        <v>2100</v>
      </c>
      <c r="K129">
        <f>Table1_2[[#This Row],[Sales]]-Table1_2[[#This Row],[Cost]]</f>
        <v>1400</v>
      </c>
    </row>
    <row r="130" spans="1:11" x14ac:dyDescent="0.35">
      <c r="A130" s="2" t="s">
        <v>151</v>
      </c>
      <c r="B130" s="1">
        <v>45516</v>
      </c>
      <c r="C130" s="2" t="s">
        <v>329</v>
      </c>
      <c r="D130">
        <v>2024</v>
      </c>
      <c r="E130" s="2" t="s">
        <v>9</v>
      </c>
      <c r="F130" s="2" t="s">
        <v>10</v>
      </c>
      <c r="G130" s="2" t="s">
        <v>33</v>
      </c>
      <c r="H130">
        <v>3</v>
      </c>
      <c r="I130">
        <v>500</v>
      </c>
      <c r="J130">
        <v>1500</v>
      </c>
      <c r="K130">
        <f>Table1_2[[#This Row],[Sales]]-Table1_2[[#This Row],[Cost]]</f>
        <v>1000</v>
      </c>
    </row>
    <row r="131" spans="1:11" x14ac:dyDescent="0.35">
      <c r="A131" s="2" t="s">
        <v>152</v>
      </c>
      <c r="B131" s="1">
        <v>45433</v>
      </c>
      <c r="C131" s="2" t="s">
        <v>330</v>
      </c>
      <c r="D131">
        <v>2024</v>
      </c>
      <c r="E131" s="2" t="s">
        <v>9</v>
      </c>
      <c r="F131" s="2" t="s">
        <v>29</v>
      </c>
      <c r="G131" s="2" t="s">
        <v>15</v>
      </c>
      <c r="H131">
        <v>2</v>
      </c>
      <c r="I131">
        <v>1200</v>
      </c>
      <c r="J131">
        <v>2400</v>
      </c>
      <c r="K131">
        <f>Table1_2[[#This Row],[Sales]]-Table1_2[[#This Row],[Cost]]</f>
        <v>1200</v>
      </c>
    </row>
    <row r="132" spans="1:11" x14ac:dyDescent="0.35">
      <c r="A132" s="2" t="s">
        <v>153</v>
      </c>
      <c r="B132" s="1">
        <v>45813</v>
      </c>
      <c r="C132" s="2" t="s">
        <v>335</v>
      </c>
      <c r="D132">
        <v>2025</v>
      </c>
      <c r="E132" s="2" t="s">
        <v>13</v>
      </c>
      <c r="F132" s="2" t="s">
        <v>14</v>
      </c>
      <c r="G132" s="2" t="s">
        <v>15</v>
      </c>
      <c r="H132">
        <v>5</v>
      </c>
      <c r="I132">
        <v>2000</v>
      </c>
      <c r="J132">
        <v>5000</v>
      </c>
      <c r="K132">
        <f>Table1_2[[#This Row],[Sales]]-Table1_2[[#This Row],[Cost]]</f>
        <v>3000</v>
      </c>
    </row>
    <row r="133" spans="1:11" x14ac:dyDescent="0.35">
      <c r="A133" s="2" t="s">
        <v>154</v>
      </c>
      <c r="B133" s="1">
        <v>45797</v>
      </c>
      <c r="C133" s="2" t="s">
        <v>330</v>
      </c>
      <c r="D133">
        <v>2025</v>
      </c>
      <c r="E133" s="2" t="s">
        <v>9</v>
      </c>
      <c r="F133" s="2" t="s">
        <v>29</v>
      </c>
      <c r="G133" s="2" t="s">
        <v>33</v>
      </c>
      <c r="H133">
        <v>5</v>
      </c>
      <c r="I133">
        <v>1200</v>
      </c>
      <c r="J133">
        <v>6000</v>
      </c>
      <c r="K133">
        <f>Table1_2[[#This Row],[Sales]]-Table1_2[[#This Row],[Cost]]</f>
        <v>4800</v>
      </c>
    </row>
    <row r="134" spans="1:11" x14ac:dyDescent="0.35">
      <c r="A134" s="2" t="s">
        <v>155</v>
      </c>
      <c r="B134" s="1">
        <v>45385</v>
      </c>
      <c r="C134" s="2" t="s">
        <v>326</v>
      </c>
      <c r="D134">
        <v>2024</v>
      </c>
      <c r="E134" s="2" t="s">
        <v>9</v>
      </c>
      <c r="F134" s="2" t="s">
        <v>27</v>
      </c>
      <c r="G134" s="2" t="s">
        <v>33</v>
      </c>
      <c r="H134">
        <v>1</v>
      </c>
      <c r="I134">
        <v>2500</v>
      </c>
      <c r="J134">
        <v>2500</v>
      </c>
      <c r="K134">
        <f>Table1_2[[#This Row],[Sales]]-Table1_2[[#This Row],[Cost]]</f>
        <v>0</v>
      </c>
    </row>
    <row r="135" spans="1:11" x14ac:dyDescent="0.35">
      <c r="A135" s="2" t="s">
        <v>156</v>
      </c>
      <c r="B135" s="1">
        <v>45340</v>
      </c>
      <c r="C135" s="2" t="s">
        <v>334</v>
      </c>
      <c r="D135">
        <v>2024</v>
      </c>
      <c r="E135" s="2" t="s">
        <v>17</v>
      </c>
      <c r="F135" s="2" t="s">
        <v>18</v>
      </c>
      <c r="G135" s="2" t="s">
        <v>19</v>
      </c>
      <c r="H135">
        <v>2</v>
      </c>
      <c r="I135">
        <v>1200</v>
      </c>
      <c r="J135">
        <v>2400</v>
      </c>
      <c r="K135">
        <f>Table1_2[[#This Row],[Sales]]-Table1_2[[#This Row],[Cost]]</f>
        <v>1200</v>
      </c>
    </row>
    <row r="136" spans="1:11" x14ac:dyDescent="0.35">
      <c r="A136" s="2" t="s">
        <v>157</v>
      </c>
      <c r="B136" s="1">
        <v>45404</v>
      </c>
      <c r="C136" s="2" t="s">
        <v>326</v>
      </c>
      <c r="D136">
        <v>2024</v>
      </c>
      <c r="E136" s="2" t="s">
        <v>17</v>
      </c>
      <c r="F136" s="2" t="s">
        <v>18</v>
      </c>
      <c r="G136" s="2" t="s">
        <v>11</v>
      </c>
      <c r="H136">
        <v>2</v>
      </c>
      <c r="I136">
        <v>1200</v>
      </c>
      <c r="J136">
        <v>2400</v>
      </c>
      <c r="K136">
        <f>Table1_2[[#This Row],[Sales]]-Table1_2[[#This Row],[Cost]]</f>
        <v>1200</v>
      </c>
    </row>
    <row r="137" spans="1:11" x14ac:dyDescent="0.35">
      <c r="A137" s="2" t="s">
        <v>158</v>
      </c>
      <c r="B137" s="1">
        <v>45448</v>
      </c>
      <c r="C137" s="2" t="s">
        <v>335</v>
      </c>
      <c r="D137">
        <v>2024</v>
      </c>
      <c r="E137" s="2" t="s">
        <v>9</v>
      </c>
      <c r="F137" s="2" t="s">
        <v>10</v>
      </c>
      <c r="G137" s="2" t="s">
        <v>19</v>
      </c>
      <c r="H137">
        <v>2</v>
      </c>
      <c r="I137">
        <v>500</v>
      </c>
      <c r="J137">
        <v>1000</v>
      </c>
      <c r="K137">
        <f>Table1_2[[#This Row],[Sales]]-Table1_2[[#This Row],[Cost]]</f>
        <v>500</v>
      </c>
    </row>
    <row r="138" spans="1:11" x14ac:dyDescent="0.35">
      <c r="A138" s="2" t="s">
        <v>159</v>
      </c>
      <c r="B138" s="1">
        <v>45934</v>
      </c>
      <c r="C138" s="2" t="s">
        <v>325</v>
      </c>
      <c r="D138">
        <v>2025</v>
      </c>
      <c r="E138" s="2" t="s">
        <v>13</v>
      </c>
      <c r="F138" s="2" t="s">
        <v>14</v>
      </c>
      <c r="G138" s="2" t="s">
        <v>33</v>
      </c>
      <c r="H138">
        <v>5</v>
      </c>
      <c r="I138">
        <v>2000</v>
      </c>
      <c r="J138">
        <v>10000</v>
      </c>
      <c r="K138">
        <f>Table1_2[[#This Row],[Sales]]-Table1_2[[#This Row],[Cost]]</f>
        <v>8000</v>
      </c>
    </row>
    <row r="139" spans="1:11" x14ac:dyDescent="0.35">
      <c r="A139" s="2" t="s">
        <v>160</v>
      </c>
      <c r="B139" s="1">
        <v>45455</v>
      </c>
      <c r="C139" s="2" t="s">
        <v>335</v>
      </c>
      <c r="D139">
        <v>2024</v>
      </c>
      <c r="E139" s="2" t="s">
        <v>17</v>
      </c>
      <c r="F139" s="2" t="s">
        <v>18</v>
      </c>
      <c r="G139" s="2" t="s">
        <v>15</v>
      </c>
      <c r="H139">
        <v>2</v>
      </c>
      <c r="I139">
        <v>1200</v>
      </c>
      <c r="J139">
        <v>2400</v>
      </c>
      <c r="K139">
        <f>Table1_2[[#This Row],[Sales]]-Table1_2[[#This Row],[Cost]]</f>
        <v>1200</v>
      </c>
    </row>
    <row r="140" spans="1:11" x14ac:dyDescent="0.35">
      <c r="A140" s="2" t="s">
        <v>161</v>
      </c>
      <c r="B140" s="1">
        <v>45988</v>
      </c>
      <c r="C140" s="2" t="s">
        <v>331</v>
      </c>
      <c r="D140">
        <v>2025</v>
      </c>
      <c r="E140" s="2" t="s">
        <v>17</v>
      </c>
      <c r="F140" s="2" t="s">
        <v>18</v>
      </c>
      <c r="G140" s="2" t="s">
        <v>11</v>
      </c>
      <c r="H140">
        <v>2</v>
      </c>
      <c r="I140">
        <v>1200</v>
      </c>
      <c r="J140">
        <v>2400</v>
      </c>
      <c r="K140">
        <f>Table1_2[[#This Row],[Sales]]-Table1_2[[#This Row],[Cost]]</f>
        <v>1200</v>
      </c>
    </row>
    <row r="141" spans="1:11" x14ac:dyDescent="0.35">
      <c r="A141" s="2" t="s">
        <v>162</v>
      </c>
      <c r="B141" s="1">
        <v>45724</v>
      </c>
      <c r="C141" s="2" t="s">
        <v>333</v>
      </c>
      <c r="D141">
        <v>2025</v>
      </c>
      <c r="E141" s="2" t="s">
        <v>17</v>
      </c>
      <c r="F141" s="2" t="s">
        <v>18</v>
      </c>
      <c r="G141" s="2" t="s">
        <v>15</v>
      </c>
      <c r="H141">
        <v>1</v>
      </c>
      <c r="I141">
        <v>1200</v>
      </c>
      <c r="J141">
        <v>1200</v>
      </c>
      <c r="K141">
        <f>Table1_2[[#This Row],[Sales]]-Table1_2[[#This Row],[Cost]]</f>
        <v>0</v>
      </c>
    </row>
    <row r="142" spans="1:11" x14ac:dyDescent="0.35">
      <c r="A142" s="2" t="s">
        <v>163</v>
      </c>
      <c r="B142" s="1">
        <v>45902</v>
      </c>
      <c r="C142" s="2" t="s">
        <v>328</v>
      </c>
      <c r="D142">
        <v>2025</v>
      </c>
      <c r="E142" s="2" t="s">
        <v>9</v>
      </c>
      <c r="F142" s="2" t="s">
        <v>27</v>
      </c>
      <c r="G142" s="2" t="s">
        <v>19</v>
      </c>
      <c r="H142">
        <v>5</v>
      </c>
      <c r="I142">
        <v>2500</v>
      </c>
      <c r="J142">
        <v>12500</v>
      </c>
      <c r="K142">
        <f>Table1_2[[#This Row],[Sales]]-Table1_2[[#This Row],[Cost]]</f>
        <v>10000</v>
      </c>
    </row>
    <row r="143" spans="1:11" x14ac:dyDescent="0.35">
      <c r="A143" s="2" t="s">
        <v>164</v>
      </c>
      <c r="B143" s="1">
        <v>45357</v>
      </c>
      <c r="C143" s="2" t="s">
        <v>333</v>
      </c>
      <c r="D143">
        <v>2024</v>
      </c>
      <c r="E143" s="2" t="s">
        <v>9</v>
      </c>
      <c r="F143" s="2" t="s">
        <v>35</v>
      </c>
      <c r="G143" s="2" t="s">
        <v>11</v>
      </c>
      <c r="H143">
        <v>2</v>
      </c>
      <c r="I143">
        <v>700</v>
      </c>
      <c r="J143">
        <v>1400</v>
      </c>
      <c r="K143">
        <f>Table1_2[[#This Row],[Sales]]-Table1_2[[#This Row],[Cost]]</f>
        <v>700</v>
      </c>
    </row>
    <row r="144" spans="1:11" x14ac:dyDescent="0.35">
      <c r="A144" s="2" t="s">
        <v>165</v>
      </c>
      <c r="B144" s="1">
        <v>45686</v>
      </c>
      <c r="C144" s="2" t="s">
        <v>327</v>
      </c>
      <c r="D144">
        <v>2025</v>
      </c>
      <c r="E144" s="2" t="s">
        <v>13</v>
      </c>
      <c r="F144" s="2" t="s">
        <v>63</v>
      </c>
      <c r="G144" s="2" t="s">
        <v>33</v>
      </c>
      <c r="H144">
        <v>5</v>
      </c>
      <c r="I144">
        <v>1000</v>
      </c>
      <c r="J144">
        <v>5000</v>
      </c>
      <c r="K144">
        <f>Table1_2[[#This Row],[Sales]]-Table1_2[[#This Row],[Cost]]</f>
        <v>4000</v>
      </c>
    </row>
    <row r="145" spans="1:11" x14ac:dyDescent="0.35">
      <c r="A145" s="2" t="s">
        <v>166</v>
      </c>
      <c r="B145" s="1">
        <v>45682</v>
      </c>
      <c r="C145" s="2" t="s">
        <v>327</v>
      </c>
      <c r="D145">
        <v>2025</v>
      </c>
      <c r="E145" s="2" t="s">
        <v>9</v>
      </c>
      <c r="F145" s="2" t="s">
        <v>27</v>
      </c>
      <c r="G145" s="2" t="s">
        <v>15</v>
      </c>
      <c r="H145">
        <v>6</v>
      </c>
      <c r="I145">
        <v>2500</v>
      </c>
      <c r="J145">
        <v>15000</v>
      </c>
      <c r="K145">
        <f>Table1_2[[#This Row],[Sales]]-Table1_2[[#This Row],[Cost]]</f>
        <v>12500</v>
      </c>
    </row>
    <row r="146" spans="1:11" x14ac:dyDescent="0.35">
      <c r="A146" s="2" t="s">
        <v>167</v>
      </c>
      <c r="B146" s="1">
        <v>45902</v>
      </c>
      <c r="C146" s="2" t="s">
        <v>328</v>
      </c>
      <c r="D146">
        <v>2025</v>
      </c>
      <c r="E146" s="2" t="s">
        <v>13</v>
      </c>
      <c r="F146" s="2" t="s">
        <v>63</v>
      </c>
      <c r="G146" s="2" t="s">
        <v>33</v>
      </c>
      <c r="H146">
        <v>5</v>
      </c>
      <c r="I146">
        <v>1000</v>
      </c>
      <c r="J146">
        <v>5000</v>
      </c>
      <c r="K146">
        <f>Table1_2[[#This Row],[Sales]]-Table1_2[[#This Row],[Cost]]</f>
        <v>4000</v>
      </c>
    </row>
    <row r="147" spans="1:11" x14ac:dyDescent="0.35">
      <c r="A147" s="2" t="s">
        <v>168</v>
      </c>
      <c r="B147" s="1">
        <v>45771</v>
      </c>
      <c r="C147" s="2" t="s">
        <v>326</v>
      </c>
      <c r="D147">
        <v>2025</v>
      </c>
      <c r="E147" s="2" t="s">
        <v>17</v>
      </c>
      <c r="F147" s="2" t="s">
        <v>18</v>
      </c>
      <c r="G147" s="2" t="s">
        <v>15</v>
      </c>
      <c r="H147">
        <v>5</v>
      </c>
      <c r="I147">
        <v>1200</v>
      </c>
      <c r="J147">
        <v>6000</v>
      </c>
      <c r="K147">
        <f>Table1_2[[#This Row],[Sales]]-Table1_2[[#This Row],[Cost]]</f>
        <v>4800</v>
      </c>
    </row>
    <row r="148" spans="1:11" x14ac:dyDescent="0.35">
      <c r="A148" s="2" t="s">
        <v>169</v>
      </c>
      <c r="B148" s="1">
        <v>45833</v>
      </c>
      <c r="C148" s="2" t="s">
        <v>335</v>
      </c>
      <c r="D148">
        <v>2025</v>
      </c>
      <c r="E148" s="2" t="s">
        <v>17</v>
      </c>
      <c r="F148" s="2" t="s">
        <v>18</v>
      </c>
      <c r="G148" s="2" t="s">
        <v>33</v>
      </c>
      <c r="H148">
        <v>1</v>
      </c>
      <c r="I148">
        <v>1200</v>
      </c>
      <c r="J148">
        <v>1200</v>
      </c>
      <c r="K148">
        <f>Table1_2[[#This Row],[Sales]]-Table1_2[[#This Row],[Cost]]</f>
        <v>0</v>
      </c>
    </row>
    <row r="149" spans="1:11" x14ac:dyDescent="0.35">
      <c r="A149" s="2" t="s">
        <v>170</v>
      </c>
      <c r="B149" s="1">
        <v>45549</v>
      </c>
      <c r="C149" s="2" t="s">
        <v>328</v>
      </c>
      <c r="D149">
        <v>2024</v>
      </c>
      <c r="E149" s="2" t="s">
        <v>17</v>
      </c>
      <c r="F149" s="2" t="s">
        <v>18</v>
      </c>
      <c r="G149" s="2" t="s">
        <v>19</v>
      </c>
      <c r="H149">
        <v>3</v>
      </c>
      <c r="I149">
        <v>1200</v>
      </c>
      <c r="J149">
        <v>3600</v>
      </c>
      <c r="K149">
        <f>Table1_2[[#This Row],[Sales]]-Table1_2[[#This Row],[Cost]]</f>
        <v>2400</v>
      </c>
    </row>
    <row r="150" spans="1:11" x14ac:dyDescent="0.35">
      <c r="A150" s="2" t="s">
        <v>171</v>
      </c>
      <c r="B150" s="1">
        <v>45858</v>
      </c>
      <c r="C150" s="2" t="s">
        <v>332</v>
      </c>
      <c r="D150">
        <v>2025</v>
      </c>
      <c r="E150" s="2" t="s">
        <v>9</v>
      </c>
      <c r="F150" s="2" t="s">
        <v>35</v>
      </c>
      <c r="G150" s="2" t="s">
        <v>11</v>
      </c>
      <c r="H150">
        <v>5</v>
      </c>
      <c r="I150">
        <v>700</v>
      </c>
      <c r="J150">
        <v>3500</v>
      </c>
      <c r="K150">
        <f>Table1_2[[#This Row],[Sales]]-Table1_2[[#This Row],[Cost]]</f>
        <v>2800</v>
      </c>
    </row>
    <row r="151" spans="1:11" x14ac:dyDescent="0.35">
      <c r="A151" s="2" t="s">
        <v>172</v>
      </c>
      <c r="B151" s="1">
        <v>45303</v>
      </c>
      <c r="C151" s="2" t="s">
        <v>327</v>
      </c>
      <c r="D151">
        <v>2024</v>
      </c>
      <c r="E151" s="2" t="s">
        <v>13</v>
      </c>
      <c r="F151" s="2" t="s">
        <v>63</v>
      </c>
      <c r="G151" s="2" t="s">
        <v>15</v>
      </c>
      <c r="H151">
        <v>2</v>
      </c>
      <c r="I151">
        <v>1000</v>
      </c>
      <c r="J151">
        <v>2000</v>
      </c>
      <c r="K151">
        <f>Table1_2[[#This Row],[Sales]]-Table1_2[[#This Row],[Cost]]</f>
        <v>1000</v>
      </c>
    </row>
    <row r="152" spans="1:11" x14ac:dyDescent="0.35">
      <c r="A152" s="2" t="s">
        <v>173</v>
      </c>
      <c r="B152" s="1">
        <v>45988</v>
      </c>
      <c r="C152" s="2" t="s">
        <v>331</v>
      </c>
      <c r="D152">
        <v>2025</v>
      </c>
      <c r="E152" s="2" t="s">
        <v>9</v>
      </c>
      <c r="F152" s="2" t="s">
        <v>10</v>
      </c>
      <c r="G152" s="2" t="s">
        <v>15</v>
      </c>
      <c r="H152">
        <v>6</v>
      </c>
      <c r="I152">
        <v>500</v>
      </c>
      <c r="J152">
        <v>3000</v>
      </c>
      <c r="K152">
        <f>Table1_2[[#This Row],[Sales]]-Table1_2[[#This Row],[Cost]]</f>
        <v>2500</v>
      </c>
    </row>
    <row r="153" spans="1:11" x14ac:dyDescent="0.35">
      <c r="A153" s="2" t="s">
        <v>174</v>
      </c>
      <c r="B153" s="1">
        <v>45409</v>
      </c>
      <c r="C153" s="2" t="s">
        <v>326</v>
      </c>
      <c r="D153">
        <v>2024</v>
      </c>
      <c r="E153" s="2" t="s">
        <v>13</v>
      </c>
      <c r="F153" s="2" t="s">
        <v>14</v>
      </c>
      <c r="G153" s="2" t="s">
        <v>33</v>
      </c>
      <c r="H153">
        <v>2</v>
      </c>
      <c r="I153">
        <v>2000</v>
      </c>
      <c r="J153">
        <v>4000</v>
      </c>
      <c r="K153">
        <f>Table1_2[[#This Row],[Sales]]-Table1_2[[#This Row],[Cost]]</f>
        <v>2000</v>
      </c>
    </row>
    <row r="154" spans="1:11" x14ac:dyDescent="0.35">
      <c r="A154" s="2" t="s">
        <v>175</v>
      </c>
      <c r="B154" s="1">
        <v>45990</v>
      </c>
      <c r="C154" s="2" t="s">
        <v>331</v>
      </c>
      <c r="D154">
        <v>2025</v>
      </c>
      <c r="E154" s="2" t="s">
        <v>9</v>
      </c>
      <c r="F154" s="2" t="s">
        <v>35</v>
      </c>
      <c r="G154" s="2" t="s">
        <v>33</v>
      </c>
      <c r="H154">
        <v>6</v>
      </c>
      <c r="I154">
        <v>700</v>
      </c>
      <c r="J154">
        <v>4200</v>
      </c>
      <c r="K154">
        <f>Table1_2[[#This Row],[Sales]]-Table1_2[[#This Row],[Cost]]</f>
        <v>3500</v>
      </c>
    </row>
    <row r="155" spans="1:11" x14ac:dyDescent="0.35">
      <c r="A155" s="2" t="s">
        <v>176</v>
      </c>
      <c r="B155" s="1">
        <v>45841</v>
      </c>
      <c r="C155" s="2" t="s">
        <v>332</v>
      </c>
      <c r="D155">
        <v>2025</v>
      </c>
      <c r="E155" s="2" t="s">
        <v>13</v>
      </c>
      <c r="F155" s="2" t="s">
        <v>63</v>
      </c>
      <c r="G155" s="2" t="s">
        <v>15</v>
      </c>
      <c r="H155">
        <v>5</v>
      </c>
      <c r="I155">
        <v>1000</v>
      </c>
      <c r="J155">
        <v>5000</v>
      </c>
      <c r="K155">
        <f>Table1_2[[#This Row],[Sales]]-Table1_2[[#This Row],[Cost]]</f>
        <v>4000</v>
      </c>
    </row>
    <row r="156" spans="1:11" x14ac:dyDescent="0.35">
      <c r="A156" s="2" t="s">
        <v>177</v>
      </c>
      <c r="B156" s="1">
        <v>45565</v>
      </c>
      <c r="C156" s="2" t="s">
        <v>328</v>
      </c>
      <c r="D156">
        <v>2024</v>
      </c>
      <c r="E156" s="2" t="s">
        <v>9</v>
      </c>
      <c r="F156" s="2" t="s">
        <v>27</v>
      </c>
      <c r="G156" s="2" t="s">
        <v>11</v>
      </c>
      <c r="H156">
        <v>6</v>
      </c>
      <c r="I156">
        <v>2500</v>
      </c>
      <c r="J156">
        <v>15000</v>
      </c>
      <c r="K156">
        <f>Table1_2[[#This Row],[Sales]]-Table1_2[[#This Row],[Cost]]</f>
        <v>12500</v>
      </c>
    </row>
    <row r="157" spans="1:11" x14ac:dyDescent="0.35">
      <c r="A157" s="2" t="s">
        <v>178</v>
      </c>
      <c r="B157" s="1">
        <v>45948</v>
      </c>
      <c r="C157" s="2" t="s">
        <v>325</v>
      </c>
      <c r="D157">
        <v>2025</v>
      </c>
      <c r="E157" s="2" t="s">
        <v>13</v>
      </c>
      <c r="F157" s="2" t="s">
        <v>63</v>
      </c>
      <c r="G157" s="2" t="s">
        <v>11</v>
      </c>
      <c r="H157">
        <v>5</v>
      </c>
      <c r="I157">
        <v>1000</v>
      </c>
      <c r="J157">
        <v>5000</v>
      </c>
      <c r="K157">
        <f>Table1_2[[#This Row],[Sales]]-Table1_2[[#This Row],[Cost]]</f>
        <v>4000</v>
      </c>
    </row>
    <row r="158" spans="1:11" x14ac:dyDescent="0.35">
      <c r="A158" s="2" t="s">
        <v>179</v>
      </c>
      <c r="B158" s="1">
        <v>45640</v>
      </c>
      <c r="C158" s="2" t="s">
        <v>336</v>
      </c>
      <c r="D158">
        <v>2024</v>
      </c>
      <c r="E158" s="2" t="s">
        <v>13</v>
      </c>
      <c r="F158" s="2" t="s">
        <v>14</v>
      </c>
      <c r="G158" s="2" t="s">
        <v>15</v>
      </c>
      <c r="H158">
        <v>1</v>
      </c>
      <c r="I158">
        <v>2000</v>
      </c>
      <c r="J158">
        <v>2000</v>
      </c>
      <c r="K158">
        <f>Table1_2[[#This Row],[Sales]]-Table1_2[[#This Row],[Cost]]</f>
        <v>0</v>
      </c>
    </row>
    <row r="159" spans="1:11" x14ac:dyDescent="0.35">
      <c r="A159" s="2" t="s">
        <v>180</v>
      </c>
      <c r="B159" s="1">
        <v>45406</v>
      </c>
      <c r="C159" s="2" t="s">
        <v>326</v>
      </c>
      <c r="D159">
        <v>2024</v>
      </c>
      <c r="E159" s="2" t="s">
        <v>17</v>
      </c>
      <c r="F159" s="2" t="s">
        <v>18</v>
      </c>
      <c r="G159" s="2" t="s">
        <v>33</v>
      </c>
      <c r="H159">
        <v>1</v>
      </c>
      <c r="I159">
        <v>1200</v>
      </c>
      <c r="J159">
        <v>1200</v>
      </c>
      <c r="K159">
        <f>Table1_2[[#This Row],[Sales]]-Table1_2[[#This Row],[Cost]]</f>
        <v>0</v>
      </c>
    </row>
    <row r="160" spans="1:11" x14ac:dyDescent="0.35">
      <c r="A160" s="2" t="s">
        <v>181</v>
      </c>
      <c r="B160" s="1">
        <v>45592</v>
      </c>
      <c r="C160" s="2" t="s">
        <v>325</v>
      </c>
      <c r="D160">
        <v>2024</v>
      </c>
      <c r="E160" s="2" t="s">
        <v>13</v>
      </c>
      <c r="F160" s="2" t="s">
        <v>14</v>
      </c>
      <c r="G160" s="2" t="s">
        <v>33</v>
      </c>
      <c r="H160">
        <v>2</v>
      </c>
      <c r="I160">
        <v>2000</v>
      </c>
      <c r="J160">
        <v>4000</v>
      </c>
      <c r="K160">
        <f>Table1_2[[#This Row],[Sales]]-Table1_2[[#This Row],[Cost]]</f>
        <v>2000</v>
      </c>
    </row>
    <row r="161" spans="1:11" x14ac:dyDescent="0.35">
      <c r="A161" s="2" t="s">
        <v>182</v>
      </c>
      <c r="B161" s="1">
        <v>45737</v>
      </c>
      <c r="C161" s="2" t="s">
        <v>333</v>
      </c>
      <c r="D161">
        <v>2025</v>
      </c>
      <c r="E161" s="2" t="s">
        <v>13</v>
      </c>
      <c r="F161" s="2" t="s">
        <v>21</v>
      </c>
      <c r="G161" s="2" t="s">
        <v>19</v>
      </c>
      <c r="H161">
        <v>5</v>
      </c>
      <c r="I161">
        <v>1500</v>
      </c>
      <c r="J161">
        <v>7500</v>
      </c>
      <c r="K161">
        <f>Table1_2[[#This Row],[Sales]]-Table1_2[[#This Row],[Cost]]</f>
        <v>6000</v>
      </c>
    </row>
    <row r="162" spans="1:11" x14ac:dyDescent="0.35">
      <c r="A162" s="2" t="s">
        <v>183</v>
      </c>
      <c r="B162" s="1">
        <v>45453</v>
      </c>
      <c r="C162" s="2" t="s">
        <v>335</v>
      </c>
      <c r="D162">
        <v>2024</v>
      </c>
      <c r="E162" s="2" t="s">
        <v>13</v>
      </c>
      <c r="F162" s="2" t="s">
        <v>63</v>
      </c>
      <c r="G162" s="2" t="s">
        <v>15</v>
      </c>
      <c r="H162">
        <v>3</v>
      </c>
      <c r="I162">
        <v>1000</v>
      </c>
      <c r="J162">
        <v>3000</v>
      </c>
      <c r="K162">
        <f>Table1_2[[#This Row],[Sales]]-Table1_2[[#This Row],[Cost]]</f>
        <v>2000</v>
      </c>
    </row>
    <row r="163" spans="1:11" x14ac:dyDescent="0.35">
      <c r="A163" s="2" t="s">
        <v>184</v>
      </c>
      <c r="B163" s="1">
        <v>45756</v>
      </c>
      <c r="C163" s="2" t="s">
        <v>326</v>
      </c>
      <c r="D163">
        <v>2025</v>
      </c>
      <c r="E163" s="2" t="s">
        <v>13</v>
      </c>
      <c r="F163" s="2" t="s">
        <v>21</v>
      </c>
      <c r="G163" s="2" t="s">
        <v>33</v>
      </c>
      <c r="H163">
        <v>5</v>
      </c>
      <c r="I163">
        <v>1500</v>
      </c>
      <c r="J163">
        <v>7500</v>
      </c>
      <c r="K163">
        <f>Table1_2[[#This Row],[Sales]]-Table1_2[[#This Row],[Cost]]</f>
        <v>6000</v>
      </c>
    </row>
    <row r="164" spans="1:11" x14ac:dyDescent="0.35">
      <c r="A164" s="2" t="s">
        <v>185</v>
      </c>
      <c r="B164" s="1">
        <v>45295</v>
      </c>
      <c r="C164" s="2" t="s">
        <v>327</v>
      </c>
      <c r="D164">
        <v>2024</v>
      </c>
      <c r="E164" s="2" t="s">
        <v>13</v>
      </c>
      <c r="F164" s="2" t="s">
        <v>63</v>
      </c>
      <c r="G164" s="2" t="s">
        <v>15</v>
      </c>
      <c r="H164">
        <v>1</v>
      </c>
      <c r="I164">
        <v>1000</v>
      </c>
      <c r="J164">
        <v>1000</v>
      </c>
      <c r="K164">
        <f>Table1_2[[#This Row],[Sales]]-Table1_2[[#This Row],[Cost]]</f>
        <v>0</v>
      </c>
    </row>
    <row r="165" spans="1:11" x14ac:dyDescent="0.35">
      <c r="A165" s="2" t="s">
        <v>186</v>
      </c>
      <c r="B165" s="1">
        <v>45561</v>
      </c>
      <c r="C165" s="2" t="s">
        <v>328</v>
      </c>
      <c r="D165">
        <v>2024</v>
      </c>
      <c r="E165" s="2" t="s">
        <v>13</v>
      </c>
      <c r="F165" s="2" t="s">
        <v>21</v>
      </c>
      <c r="G165" s="2" t="s">
        <v>33</v>
      </c>
      <c r="H165">
        <v>1</v>
      </c>
      <c r="I165">
        <v>1500</v>
      </c>
      <c r="J165">
        <v>1500</v>
      </c>
      <c r="K165">
        <f>Table1_2[[#This Row],[Sales]]-Table1_2[[#This Row],[Cost]]</f>
        <v>0</v>
      </c>
    </row>
    <row r="166" spans="1:11" x14ac:dyDescent="0.35">
      <c r="A166" s="2" t="s">
        <v>187</v>
      </c>
      <c r="B166" s="1">
        <v>45804</v>
      </c>
      <c r="C166" s="2" t="s">
        <v>330</v>
      </c>
      <c r="D166">
        <v>2025</v>
      </c>
      <c r="E166" s="2" t="s">
        <v>9</v>
      </c>
      <c r="F166" s="2" t="s">
        <v>27</v>
      </c>
      <c r="G166" s="2" t="s">
        <v>15</v>
      </c>
      <c r="H166">
        <v>5</v>
      </c>
      <c r="I166">
        <v>2500</v>
      </c>
      <c r="J166">
        <v>12500</v>
      </c>
      <c r="K166">
        <f>Table1_2[[#This Row],[Sales]]-Table1_2[[#This Row],[Cost]]</f>
        <v>10000</v>
      </c>
    </row>
    <row r="167" spans="1:11" x14ac:dyDescent="0.35">
      <c r="A167" s="2" t="s">
        <v>188</v>
      </c>
      <c r="B167" s="1">
        <v>45474</v>
      </c>
      <c r="C167" s="2" t="s">
        <v>332</v>
      </c>
      <c r="D167">
        <v>2024</v>
      </c>
      <c r="E167" s="2" t="s">
        <v>13</v>
      </c>
      <c r="F167" s="2" t="s">
        <v>63</v>
      </c>
      <c r="G167" s="2" t="s">
        <v>33</v>
      </c>
      <c r="H167">
        <v>1</v>
      </c>
      <c r="I167">
        <v>1000</v>
      </c>
      <c r="J167">
        <v>1000</v>
      </c>
      <c r="K167">
        <f>Table1_2[[#This Row],[Sales]]-Table1_2[[#This Row],[Cost]]</f>
        <v>0</v>
      </c>
    </row>
    <row r="168" spans="1:11" x14ac:dyDescent="0.35">
      <c r="A168" s="2" t="s">
        <v>189</v>
      </c>
      <c r="B168" s="1">
        <v>45811</v>
      </c>
      <c r="C168" s="2" t="s">
        <v>335</v>
      </c>
      <c r="D168">
        <v>2025</v>
      </c>
      <c r="E168" s="2" t="s">
        <v>9</v>
      </c>
      <c r="F168" s="2" t="s">
        <v>29</v>
      </c>
      <c r="G168" s="2" t="s">
        <v>19</v>
      </c>
      <c r="H168">
        <v>2</v>
      </c>
      <c r="I168">
        <v>1200</v>
      </c>
      <c r="J168">
        <v>2400</v>
      </c>
      <c r="K168">
        <f>Table1_2[[#This Row],[Sales]]-Table1_2[[#This Row],[Cost]]</f>
        <v>1200</v>
      </c>
    </row>
    <row r="169" spans="1:11" x14ac:dyDescent="0.35">
      <c r="A169" s="2" t="s">
        <v>190</v>
      </c>
      <c r="B169" s="1">
        <v>45400</v>
      </c>
      <c r="C169" s="2" t="s">
        <v>326</v>
      </c>
      <c r="D169">
        <v>2024</v>
      </c>
      <c r="E169" s="2" t="s">
        <v>13</v>
      </c>
      <c r="F169" s="2" t="s">
        <v>63</v>
      </c>
      <c r="G169" s="2" t="s">
        <v>33</v>
      </c>
      <c r="H169">
        <v>1</v>
      </c>
      <c r="I169">
        <v>1000</v>
      </c>
      <c r="J169">
        <v>1000</v>
      </c>
      <c r="K169">
        <f>Table1_2[[#This Row],[Sales]]-Table1_2[[#This Row],[Cost]]</f>
        <v>0</v>
      </c>
    </row>
    <row r="170" spans="1:11" x14ac:dyDescent="0.35">
      <c r="A170" s="2" t="s">
        <v>191</v>
      </c>
      <c r="B170" s="1">
        <v>45932</v>
      </c>
      <c r="C170" s="2" t="s">
        <v>325</v>
      </c>
      <c r="D170">
        <v>2025</v>
      </c>
      <c r="E170" s="2" t="s">
        <v>9</v>
      </c>
      <c r="F170" s="2" t="s">
        <v>27</v>
      </c>
      <c r="G170" s="2" t="s">
        <v>19</v>
      </c>
      <c r="H170">
        <v>3</v>
      </c>
      <c r="I170">
        <v>2500</v>
      </c>
      <c r="J170">
        <v>7500</v>
      </c>
      <c r="K170">
        <f>Table1_2[[#This Row],[Sales]]-Table1_2[[#This Row],[Cost]]</f>
        <v>5000</v>
      </c>
    </row>
    <row r="171" spans="1:11" x14ac:dyDescent="0.35">
      <c r="A171" s="2" t="s">
        <v>192</v>
      </c>
      <c r="B171" s="1">
        <v>45597</v>
      </c>
      <c r="C171" s="2" t="s">
        <v>331</v>
      </c>
      <c r="D171">
        <v>2024</v>
      </c>
      <c r="E171" s="2" t="s">
        <v>17</v>
      </c>
      <c r="F171" s="2" t="s">
        <v>18</v>
      </c>
      <c r="G171" s="2" t="s">
        <v>33</v>
      </c>
      <c r="H171">
        <v>1</v>
      </c>
      <c r="I171">
        <v>1200</v>
      </c>
      <c r="J171">
        <v>1200</v>
      </c>
      <c r="K171">
        <f>Table1_2[[#This Row],[Sales]]-Table1_2[[#This Row],[Cost]]</f>
        <v>0</v>
      </c>
    </row>
    <row r="172" spans="1:11" x14ac:dyDescent="0.35">
      <c r="A172" s="2" t="s">
        <v>193</v>
      </c>
      <c r="B172" s="1">
        <v>45946</v>
      </c>
      <c r="C172" s="2" t="s">
        <v>325</v>
      </c>
      <c r="D172">
        <v>2025</v>
      </c>
      <c r="E172" s="2" t="s">
        <v>9</v>
      </c>
      <c r="F172" s="2" t="s">
        <v>35</v>
      </c>
      <c r="G172" s="2" t="s">
        <v>33</v>
      </c>
      <c r="H172">
        <v>2</v>
      </c>
      <c r="I172">
        <v>700</v>
      </c>
      <c r="J172">
        <v>1400</v>
      </c>
      <c r="K172">
        <f>Table1_2[[#This Row],[Sales]]-Table1_2[[#This Row],[Cost]]</f>
        <v>700</v>
      </c>
    </row>
    <row r="173" spans="1:11" x14ac:dyDescent="0.35">
      <c r="A173" s="2" t="s">
        <v>194</v>
      </c>
      <c r="B173" s="1">
        <v>45811</v>
      </c>
      <c r="C173" s="2" t="s">
        <v>335</v>
      </c>
      <c r="D173">
        <v>2025</v>
      </c>
      <c r="E173" s="2" t="s">
        <v>17</v>
      </c>
      <c r="F173" s="2" t="s">
        <v>18</v>
      </c>
      <c r="G173" s="2" t="s">
        <v>33</v>
      </c>
      <c r="H173">
        <v>3</v>
      </c>
      <c r="I173">
        <v>1200</v>
      </c>
      <c r="J173">
        <v>3600</v>
      </c>
      <c r="K173">
        <f>Table1_2[[#This Row],[Sales]]-Table1_2[[#This Row],[Cost]]</f>
        <v>2400</v>
      </c>
    </row>
    <row r="174" spans="1:11" x14ac:dyDescent="0.35">
      <c r="A174" s="2" t="s">
        <v>195</v>
      </c>
      <c r="B174" s="1">
        <v>45915</v>
      </c>
      <c r="C174" s="2" t="s">
        <v>328</v>
      </c>
      <c r="D174">
        <v>2025</v>
      </c>
      <c r="E174" s="2" t="s">
        <v>17</v>
      </c>
      <c r="F174" s="2" t="s">
        <v>18</v>
      </c>
      <c r="G174" s="2" t="s">
        <v>33</v>
      </c>
      <c r="H174">
        <v>4</v>
      </c>
      <c r="I174">
        <v>1200</v>
      </c>
      <c r="J174">
        <v>4800</v>
      </c>
      <c r="K174">
        <f>Table1_2[[#This Row],[Sales]]-Table1_2[[#This Row],[Cost]]</f>
        <v>3600</v>
      </c>
    </row>
    <row r="175" spans="1:11" x14ac:dyDescent="0.35">
      <c r="A175" s="2" t="s">
        <v>196</v>
      </c>
      <c r="B175" s="1">
        <v>45495</v>
      </c>
      <c r="C175" s="2" t="s">
        <v>332</v>
      </c>
      <c r="D175">
        <v>2024</v>
      </c>
      <c r="E175" s="2" t="s">
        <v>13</v>
      </c>
      <c r="F175" s="2" t="s">
        <v>21</v>
      </c>
      <c r="G175" s="2" t="s">
        <v>33</v>
      </c>
      <c r="H175">
        <v>3</v>
      </c>
      <c r="I175">
        <v>1500</v>
      </c>
      <c r="J175">
        <v>4500</v>
      </c>
      <c r="K175">
        <f>Table1_2[[#This Row],[Sales]]-Table1_2[[#This Row],[Cost]]</f>
        <v>3000</v>
      </c>
    </row>
    <row r="176" spans="1:11" x14ac:dyDescent="0.35">
      <c r="A176" s="2" t="s">
        <v>197</v>
      </c>
      <c r="B176" s="1">
        <v>45448</v>
      </c>
      <c r="C176" s="2" t="s">
        <v>335</v>
      </c>
      <c r="D176">
        <v>2024</v>
      </c>
      <c r="E176" s="2" t="s">
        <v>9</v>
      </c>
      <c r="F176" s="2" t="s">
        <v>10</v>
      </c>
      <c r="G176" s="2" t="s">
        <v>19</v>
      </c>
      <c r="H176">
        <v>5</v>
      </c>
      <c r="I176">
        <v>500</v>
      </c>
      <c r="J176">
        <v>2500</v>
      </c>
      <c r="K176">
        <f>Table1_2[[#This Row],[Sales]]-Table1_2[[#This Row],[Cost]]</f>
        <v>2000</v>
      </c>
    </row>
    <row r="177" spans="1:11" x14ac:dyDescent="0.35">
      <c r="A177" s="2" t="s">
        <v>198</v>
      </c>
      <c r="B177" s="1">
        <v>45674</v>
      </c>
      <c r="C177" s="2" t="s">
        <v>327</v>
      </c>
      <c r="D177">
        <v>2025</v>
      </c>
      <c r="E177" s="2" t="s">
        <v>17</v>
      </c>
      <c r="F177" s="2" t="s">
        <v>18</v>
      </c>
      <c r="G177" s="2" t="s">
        <v>11</v>
      </c>
      <c r="H177">
        <v>5</v>
      </c>
      <c r="I177">
        <v>1200</v>
      </c>
      <c r="J177">
        <v>6000</v>
      </c>
      <c r="K177">
        <f>Table1_2[[#This Row],[Sales]]-Table1_2[[#This Row],[Cost]]</f>
        <v>4800</v>
      </c>
    </row>
    <row r="178" spans="1:11" x14ac:dyDescent="0.35">
      <c r="A178" s="2" t="s">
        <v>199</v>
      </c>
      <c r="B178" s="1">
        <v>45457</v>
      </c>
      <c r="C178" s="2" t="s">
        <v>335</v>
      </c>
      <c r="D178">
        <v>2024</v>
      </c>
      <c r="E178" s="2" t="s">
        <v>13</v>
      </c>
      <c r="F178" s="2" t="s">
        <v>14</v>
      </c>
      <c r="G178" s="2" t="s">
        <v>15</v>
      </c>
      <c r="H178">
        <v>1</v>
      </c>
      <c r="I178">
        <v>2000</v>
      </c>
      <c r="J178">
        <v>2000</v>
      </c>
      <c r="K178">
        <f>Table1_2[[#This Row],[Sales]]-Table1_2[[#This Row],[Cost]]</f>
        <v>0</v>
      </c>
    </row>
    <row r="179" spans="1:11" x14ac:dyDescent="0.35">
      <c r="A179" s="2" t="s">
        <v>200</v>
      </c>
      <c r="B179" s="1">
        <v>45844</v>
      </c>
      <c r="C179" s="2" t="s">
        <v>332</v>
      </c>
      <c r="D179">
        <v>2025</v>
      </c>
      <c r="E179" s="2" t="s">
        <v>13</v>
      </c>
      <c r="F179" s="2" t="s">
        <v>63</v>
      </c>
      <c r="G179" s="2" t="s">
        <v>33</v>
      </c>
      <c r="H179">
        <v>5</v>
      </c>
      <c r="I179">
        <v>1000</v>
      </c>
      <c r="J179">
        <v>5000</v>
      </c>
      <c r="K179">
        <f>Table1_2[[#This Row],[Sales]]-Table1_2[[#This Row],[Cost]]</f>
        <v>4000</v>
      </c>
    </row>
    <row r="180" spans="1:11" x14ac:dyDescent="0.35">
      <c r="A180" s="2" t="s">
        <v>201</v>
      </c>
      <c r="B180" s="1">
        <v>45835</v>
      </c>
      <c r="C180" s="2" t="s">
        <v>335</v>
      </c>
      <c r="D180">
        <v>2025</v>
      </c>
      <c r="E180" s="2" t="s">
        <v>13</v>
      </c>
      <c r="F180" s="2" t="s">
        <v>14</v>
      </c>
      <c r="G180" s="2" t="s">
        <v>15</v>
      </c>
      <c r="H180">
        <v>5</v>
      </c>
      <c r="I180">
        <v>2000</v>
      </c>
      <c r="J180">
        <v>10000</v>
      </c>
      <c r="K180">
        <f>Table1_2[[#This Row],[Sales]]-Table1_2[[#This Row],[Cost]]</f>
        <v>8000</v>
      </c>
    </row>
    <row r="181" spans="1:11" x14ac:dyDescent="0.35">
      <c r="A181" s="2" t="s">
        <v>202</v>
      </c>
      <c r="B181" s="1">
        <v>45292</v>
      </c>
      <c r="C181" s="2" t="s">
        <v>327</v>
      </c>
      <c r="D181">
        <v>2024</v>
      </c>
      <c r="E181" s="2" t="s">
        <v>17</v>
      </c>
      <c r="F181" s="2" t="s">
        <v>18</v>
      </c>
      <c r="G181" s="2" t="s">
        <v>33</v>
      </c>
      <c r="H181">
        <v>3</v>
      </c>
      <c r="I181">
        <v>1200</v>
      </c>
      <c r="J181">
        <v>3600</v>
      </c>
      <c r="K181">
        <f>Table1_2[[#This Row],[Sales]]-Table1_2[[#This Row],[Cost]]</f>
        <v>2400</v>
      </c>
    </row>
    <row r="182" spans="1:11" x14ac:dyDescent="0.35">
      <c r="A182" s="2" t="s">
        <v>203</v>
      </c>
      <c r="B182" s="1">
        <v>45905</v>
      </c>
      <c r="C182" s="2" t="s">
        <v>328</v>
      </c>
      <c r="D182">
        <v>2025</v>
      </c>
      <c r="E182" s="2" t="s">
        <v>9</v>
      </c>
      <c r="F182" s="2" t="s">
        <v>27</v>
      </c>
      <c r="G182" s="2" t="s">
        <v>33</v>
      </c>
      <c r="H182">
        <v>4</v>
      </c>
      <c r="I182">
        <v>2500</v>
      </c>
      <c r="J182">
        <v>10000</v>
      </c>
      <c r="K182">
        <f>Table1_2[[#This Row],[Sales]]-Table1_2[[#This Row],[Cost]]</f>
        <v>7500</v>
      </c>
    </row>
    <row r="183" spans="1:11" x14ac:dyDescent="0.35">
      <c r="A183" s="2" t="s">
        <v>204</v>
      </c>
      <c r="B183" s="1">
        <v>45623</v>
      </c>
      <c r="C183" s="2" t="s">
        <v>331</v>
      </c>
      <c r="D183">
        <v>2024</v>
      </c>
      <c r="E183" s="2" t="s">
        <v>13</v>
      </c>
      <c r="F183" s="2" t="s">
        <v>21</v>
      </c>
      <c r="G183" s="2" t="s">
        <v>15</v>
      </c>
      <c r="H183">
        <v>2</v>
      </c>
      <c r="I183">
        <v>1500</v>
      </c>
      <c r="J183">
        <v>3000</v>
      </c>
      <c r="K183">
        <f>Table1_2[[#This Row],[Sales]]-Table1_2[[#This Row],[Cost]]</f>
        <v>1500</v>
      </c>
    </row>
    <row r="184" spans="1:11" x14ac:dyDescent="0.35">
      <c r="A184" s="2" t="s">
        <v>205</v>
      </c>
      <c r="B184" s="1">
        <v>45792</v>
      </c>
      <c r="C184" s="2" t="s">
        <v>330</v>
      </c>
      <c r="D184">
        <v>2025</v>
      </c>
      <c r="E184" s="2" t="s">
        <v>13</v>
      </c>
      <c r="F184" s="2" t="s">
        <v>63</v>
      </c>
      <c r="G184" s="2" t="s">
        <v>33</v>
      </c>
      <c r="H184">
        <v>5</v>
      </c>
      <c r="I184">
        <v>1000</v>
      </c>
      <c r="J184">
        <v>5000</v>
      </c>
      <c r="K184">
        <f>Table1_2[[#This Row],[Sales]]-Table1_2[[#This Row],[Cost]]</f>
        <v>4000</v>
      </c>
    </row>
    <row r="185" spans="1:11" x14ac:dyDescent="0.35">
      <c r="A185" s="2" t="s">
        <v>206</v>
      </c>
      <c r="B185" s="1">
        <v>45311</v>
      </c>
      <c r="C185" s="2" t="s">
        <v>327</v>
      </c>
      <c r="D185">
        <v>2024</v>
      </c>
      <c r="E185" s="2" t="s">
        <v>17</v>
      </c>
      <c r="F185" s="2" t="s">
        <v>18</v>
      </c>
      <c r="G185" s="2" t="s">
        <v>33</v>
      </c>
      <c r="H185">
        <v>1</v>
      </c>
      <c r="I185">
        <v>1200</v>
      </c>
      <c r="J185">
        <v>1200</v>
      </c>
      <c r="K185">
        <f>Table1_2[[#This Row],[Sales]]-Table1_2[[#This Row],[Cost]]</f>
        <v>0</v>
      </c>
    </row>
    <row r="186" spans="1:11" x14ac:dyDescent="0.35">
      <c r="A186" s="2" t="s">
        <v>207</v>
      </c>
      <c r="B186" s="1">
        <v>45406</v>
      </c>
      <c r="C186" s="2" t="s">
        <v>326</v>
      </c>
      <c r="D186">
        <v>2024</v>
      </c>
      <c r="E186" s="2" t="s">
        <v>9</v>
      </c>
      <c r="F186" s="2" t="s">
        <v>29</v>
      </c>
      <c r="G186" s="2" t="s">
        <v>11</v>
      </c>
      <c r="H186">
        <v>4</v>
      </c>
      <c r="I186">
        <v>1200</v>
      </c>
      <c r="J186">
        <v>4800</v>
      </c>
      <c r="K186">
        <f>Table1_2[[#This Row],[Sales]]-Table1_2[[#This Row],[Cost]]</f>
        <v>3600</v>
      </c>
    </row>
    <row r="187" spans="1:11" x14ac:dyDescent="0.35">
      <c r="A187" s="2" t="s">
        <v>208</v>
      </c>
      <c r="B187" s="1">
        <v>45663</v>
      </c>
      <c r="C187" s="2" t="s">
        <v>327</v>
      </c>
      <c r="D187">
        <v>2025</v>
      </c>
      <c r="E187" s="2" t="s">
        <v>9</v>
      </c>
      <c r="F187" s="2" t="s">
        <v>10</v>
      </c>
      <c r="G187" s="2" t="s">
        <v>33</v>
      </c>
      <c r="H187">
        <v>5</v>
      </c>
      <c r="I187">
        <v>500</v>
      </c>
      <c r="J187">
        <v>2500</v>
      </c>
      <c r="K187">
        <f>Table1_2[[#This Row],[Sales]]-Table1_2[[#This Row],[Cost]]</f>
        <v>2000</v>
      </c>
    </row>
    <row r="188" spans="1:11" x14ac:dyDescent="0.35">
      <c r="A188" s="2" t="s">
        <v>209</v>
      </c>
      <c r="B188" s="1">
        <v>45606</v>
      </c>
      <c r="C188" s="2" t="s">
        <v>331</v>
      </c>
      <c r="D188">
        <v>2024</v>
      </c>
      <c r="E188" s="2" t="s">
        <v>17</v>
      </c>
      <c r="F188" s="2" t="s">
        <v>18</v>
      </c>
      <c r="G188" s="2" t="s">
        <v>33</v>
      </c>
      <c r="H188">
        <v>1</v>
      </c>
      <c r="I188">
        <v>1200</v>
      </c>
      <c r="J188">
        <v>1200</v>
      </c>
      <c r="K188">
        <f>Table1_2[[#This Row],[Sales]]-Table1_2[[#This Row],[Cost]]</f>
        <v>0</v>
      </c>
    </row>
    <row r="189" spans="1:11" x14ac:dyDescent="0.35">
      <c r="A189" s="2" t="s">
        <v>210</v>
      </c>
      <c r="B189" s="1">
        <v>45537</v>
      </c>
      <c r="C189" s="2" t="s">
        <v>328</v>
      </c>
      <c r="D189">
        <v>2024</v>
      </c>
      <c r="E189" s="2" t="s">
        <v>9</v>
      </c>
      <c r="F189" s="2" t="s">
        <v>10</v>
      </c>
      <c r="G189" s="2" t="s">
        <v>15</v>
      </c>
      <c r="H189">
        <v>3</v>
      </c>
      <c r="I189">
        <v>500</v>
      </c>
      <c r="J189">
        <v>1500</v>
      </c>
      <c r="K189">
        <f>Table1_2[[#This Row],[Sales]]-Table1_2[[#This Row],[Cost]]</f>
        <v>1000</v>
      </c>
    </row>
    <row r="190" spans="1:11" x14ac:dyDescent="0.35">
      <c r="A190" s="2" t="s">
        <v>211</v>
      </c>
      <c r="B190" s="1">
        <v>45351</v>
      </c>
      <c r="C190" s="2" t="s">
        <v>334</v>
      </c>
      <c r="D190">
        <v>2024</v>
      </c>
      <c r="E190" s="2" t="s">
        <v>17</v>
      </c>
      <c r="F190" s="2" t="s">
        <v>18</v>
      </c>
      <c r="G190" s="2" t="s">
        <v>11</v>
      </c>
      <c r="H190">
        <v>3</v>
      </c>
      <c r="I190">
        <v>1200</v>
      </c>
      <c r="J190">
        <v>3600</v>
      </c>
      <c r="K190">
        <f>Table1_2[[#This Row],[Sales]]-Table1_2[[#This Row],[Cost]]</f>
        <v>2400</v>
      </c>
    </row>
    <row r="191" spans="1:11" x14ac:dyDescent="0.35">
      <c r="A191" s="2" t="s">
        <v>212</v>
      </c>
      <c r="B191" s="1">
        <v>45538</v>
      </c>
      <c r="C191" s="2" t="s">
        <v>328</v>
      </c>
      <c r="D191">
        <v>2024</v>
      </c>
      <c r="E191" s="2" t="s">
        <v>17</v>
      </c>
      <c r="F191" s="2" t="s">
        <v>18</v>
      </c>
      <c r="G191" s="2" t="s">
        <v>15</v>
      </c>
      <c r="H191">
        <v>2</v>
      </c>
      <c r="I191">
        <v>1200</v>
      </c>
      <c r="J191">
        <v>2400</v>
      </c>
      <c r="K191">
        <f>Table1_2[[#This Row],[Sales]]-Table1_2[[#This Row],[Cost]]</f>
        <v>1200</v>
      </c>
    </row>
    <row r="192" spans="1:11" x14ac:dyDescent="0.35">
      <c r="A192" s="2" t="s">
        <v>213</v>
      </c>
      <c r="B192" s="1">
        <v>45872</v>
      </c>
      <c r="C192" s="2" t="s">
        <v>329</v>
      </c>
      <c r="D192">
        <v>2025</v>
      </c>
      <c r="E192" s="2" t="s">
        <v>17</v>
      </c>
      <c r="F192" s="2" t="s">
        <v>18</v>
      </c>
      <c r="G192" s="2" t="s">
        <v>11</v>
      </c>
      <c r="H192">
        <v>5</v>
      </c>
      <c r="I192">
        <v>1200</v>
      </c>
      <c r="J192">
        <v>6000</v>
      </c>
      <c r="K192">
        <f>Table1_2[[#This Row],[Sales]]-Table1_2[[#This Row],[Cost]]</f>
        <v>4800</v>
      </c>
    </row>
    <row r="193" spans="1:11" x14ac:dyDescent="0.35">
      <c r="A193" s="2" t="s">
        <v>214</v>
      </c>
      <c r="B193" s="1">
        <v>45372</v>
      </c>
      <c r="C193" s="2" t="s">
        <v>333</v>
      </c>
      <c r="D193">
        <v>2024</v>
      </c>
      <c r="E193" s="2" t="s">
        <v>17</v>
      </c>
      <c r="F193" s="2" t="s">
        <v>18</v>
      </c>
      <c r="G193" s="2" t="s">
        <v>19</v>
      </c>
      <c r="H193">
        <v>1</v>
      </c>
      <c r="I193">
        <v>1200</v>
      </c>
      <c r="J193">
        <v>1200</v>
      </c>
      <c r="K193">
        <f>Table1_2[[#This Row],[Sales]]-Table1_2[[#This Row],[Cost]]</f>
        <v>0</v>
      </c>
    </row>
    <row r="194" spans="1:11" x14ac:dyDescent="0.35">
      <c r="A194" s="2" t="s">
        <v>215</v>
      </c>
      <c r="B194" s="1">
        <v>45379</v>
      </c>
      <c r="C194" s="2" t="s">
        <v>333</v>
      </c>
      <c r="D194">
        <v>2024</v>
      </c>
      <c r="E194" s="2" t="s">
        <v>13</v>
      </c>
      <c r="F194" s="2" t="s">
        <v>21</v>
      </c>
      <c r="G194" s="2" t="s">
        <v>11</v>
      </c>
      <c r="H194">
        <v>2</v>
      </c>
      <c r="I194">
        <v>1500</v>
      </c>
      <c r="J194">
        <v>3000</v>
      </c>
      <c r="K194">
        <f>Table1_2[[#This Row],[Sales]]-Table1_2[[#This Row],[Cost]]</f>
        <v>1500</v>
      </c>
    </row>
    <row r="195" spans="1:11" x14ac:dyDescent="0.35">
      <c r="A195" s="2" t="s">
        <v>216</v>
      </c>
      <c r="B195" s="1">
        <v>45789</v>
      </c>
      <c r="C195" s="2" t="s">
        <v>330</v>
      </c>
      <c r="D195">
        <v>2025</v>
      </c>
      <c r="E195" s="2" t="s">
        <v>9</v>
      </c>
      <c r="F195" s="2" t="s">
        <v>29</v>
      </c>
      <c r="G195" s="2" t="s">
        <v>11</v>
      </c>
      <c r="H195">
        <v>5</v>
      </c>
      <c r="I195">
        <v>1200</v>
      </c>
      <c r="J195">
        <v>6000</v>
      </c>
      <c r="K195">
        <f>Table1_2[[#This Row],[Sales]]-Table1_2[[#This Row],[Cost]]</f>
        <v>4800</v>
      </c>
    </row>
    <row r="196" spans="1:11" x14ac:dyDescent="0.35">
      <c r="A196" s="2" t="s">
        <v>217</v>
      </c>
      <c r="B196" s="1">
        <v>45362</v>
      </c>
      <c r="C196" s="2" t="s">
        <v>333</v>
      </c>
      <c r="D196">
        <v>2024</v>
      </c>
      <c r="E196" s="2" t="s">
        <v>13</v>
      </c>
      <c r="F196" s="2" t="s">
        <v>21</v>
      </c>
      <c r="G196" s="2" t="s">
        <v>15</v>
      </c>
      <c r="H196">
        <v>2</v>
      </c>
      <c r="I196">
        <v>1500</v>
      </c>
      <c r="J196">
        <v>3000</v>
      </c>
      <c r="K196">
        <f>Table1_2[[#This Row],[Sales]]-Table1_2[[#This Row],[Cost]]</f>
        <v>1500</v>
      </c>
    </row>
    <row r="197" spans="1:11" x14ac:dyDescent="0.35">
      <c r="A197" s="2" t="s">
        <v>218</v>
      </c>
      <c r="B197" s="1">
        <v>45837</v>
      </c>
      <c r="C197" s="2" t="s">
        <v>335</v>
      </c>
      <c r="D197">
        <v>2025</v>
      </c>
      <c r="E197" s="2" t="s">
        <v>13</v>
      </c>
      <c r="F197" s="2" t="s">
        <v>63</v>
      </c>
      <c r="G197" s="2" t="s">
        <v>19</v>
      </c>
      <c r="H197">
        <v>5</v>
      </c>
      <c r="I197">
        <v>1000</v>
      </c>
      <c r="J197">
        <v>5000</v>
      </c>
      <c r="K197">
        <f>Table1_2[[#This Row],[Sales]]-Table1_2[[#This Row],[Cost]]</f>
        <v>4000</v>
      </c>
    </row>
    <row r="198" spans="1:11" x14ac:dyDescent="0.35">
      <c r="A198" s="2" t="s">
        <v>219</v>
      </c>
      <c r="B198" s="1">
        <v>45420</v>
      </c>
      <c r="C198" s="2" t="s">
        <v>330</v>
      </c>
      <c r="D198">
        <v>2024</v>
      </c>
      <c r="E198" s="2" t="s">
        <v>17</v>
      </c>
      <c r="F198" s="2" t="s">
        <v>18</v>
      </c>
      <c r="G198" s="2" t="s">
        <v>19</v>
      </c>
      <c r="H198">
        <v>2</v>
      </c>
      <c r="I198">
        <v>1200</v>
      </c>
      <c r="J198">
        <v>2400</v>
      </c>
      <c r="K198">
        <f>Table1_2[[#This Row],[Sales]]-Table1_2[[#This Row],[Cost]]</f>
        <v>1200</v>
      </c>
    </row>
    <row r="199" spans="1:11" x14ac:dyDescent="0.35">
      <c r="A199" s="2" t="s">
        <v>220</v>
      </c>
      <c r="B199" s="1">
        <v>45423</v>
      </c>
      <c r="C199" s="2" t="s">
        <v>330</v>
      </c>
      <c r="D199">
        <v>2024</v>
      </c>
      <c r="E199" s="2" t="s">
        <v>9</v>
      </c>
      <c r="F199" s="2" t="s">
        <v>35</v>
      </c>
      <c r="G199" s="2" t="s">
        <v>33</v>
      </c>
      <c r="H199">
        <v>2</v>
      </c>
      <c r="I199">
        <v>700</v>
      </c>
      <c r="J199">
        <v>1400</v>
      </c>
      <c r="K199">
        <f>Table1_2[[#This Row],[Sales]]-Table1_2[[#This Row],[Cost]]</f>
        <v>700</v>
      </c>
    </row>
    <row r="200" spans="1:11" x14ac:dyDescent="0.35">
      <c r="A200" s="2" t="s">
        <v>221</v>
      </c>
      <c r="B200" s="1">
        <v>45967</v>
      </c>
      <c r="C200" s="2" t="s">
        <v>331</v>
      </c>
      <c r="D200">
        <v>2025</v>
      </c>
      <c r="E200" s="2" t="s">
        <v>17</v>
      </c>
      <c r="F200" s="2" t="s">
        <v>18</v>
      </c>
      <c r="G200" s="2" t="s">
        <v>33</v>
      </c>
      <c r="H200">
        <v>5</v>
      </c>
      <c r="I200">
        <v>1200</v>
      </c>
      <c r="J200">
        <v>6000</v>
      </c>
      <c r="K200">
        <f>Table1_2[[#This Row],[Sales]]-Table1_2[[#This Row],[Cost]]</f>
        <v>4800</v>
      </c>
    </row>
    <row r="201" spans="1:11" x14ac:dyDescent="0.35">
      <c r="A201" s="2" t="s">
        <v>222</v>
      </c>
      <c r="B201" s="1">
        <v>45778</v>
      </c>
      <c r="C201" s="2" t="s">
        <v>330</v>
      </c>
      <c r="D201">
        <v>2025</v>
      </c>
      <c r="E201" s="2" t="s">
        <v>9</v>
      </c>
      <c r="F201" s="2" t="s">
        <v>27</v>
      </c>
      <c r="G201" s="2" t="s">
        <v>33</v>
      </c>
      <c r="H201">
        <v>8</v>
      </c>
      <c r="I201">
        <v>2500</v>
      </c>
      <c r="J201">
        <v>20000</v>
      </c>
      <c r="K201">
        <f>Table1_2[[#This Row],[Sales]]-Table1_2[[#This Row],[Cost]]</f>
        <v>17500</v>
      </c>
    </row>
    <row r="202" spans="1:11" x14ac:dyDescent="0.35">
      <c r="A202" s="2" t="s">
        <v>223</v>
      </c>
      <c r="B202" s="1">
        <v>45854</v>
      </c>
      <c r="C202" s="2" t="s">
        <v>332</v>
      </c>
      <c r="D202">
        <v>2025</v>
      </c>
      <c r="E202" s="2" t="s">
        <v>13</v>
      </c>
      <c r="F202" s="2" t="s">
        <v>14</v>
      </c>
      <c r="G202" s="2" t="s">
        <v>15</v>
      </c>
      <c r="H202">
        <v>8</v>
      </c>
      <c r="I202">
        <v>2000</v>
      </c>
      <c r="J202">
        <v>16000</v>
      </c>
      <c r="K202">
        <f>Table1_2[[#This Row],[Sales]]-Table1_2[[#This Row],[Cost]]</f>
        <v>14000</v>
      </c>
    </row>
    <row r="203" spans="1:11" x14ac:dyDescent="0.35">
      <c r="A203" s="2" t="s">
        <v>224</v>
      </c>
      <c r="B203" s="1">
        <v>45461</v>
      </c>
      <c r="C203" s="2" t="s">
        <v>335</v>
      </c>
      <c r="D203">
        <v>2024</v>
      </c>
      <c r="E203" s="2" t="s">
        <v>9</v>
      </c>
      <c r="F203" s="2" t="s">
        <v>10</v>
      </c>
      <c r="G203" s="2" t="s">
        <v>15</v>
      </c>
      <c r="H203">
        <v>3</v>
      </c>
      <c r="I203">
        <v>500</v>
      </c>
      <c r="J203">
        <v>1500</v>
      </c>
      <c r="K203">
        <f>Table1_2[[#This Row],[Sales]]-Table1_2[[#This Row],[Cost]]</f>
        <v>1000</v>
      </c>
    </row>
    <row r="204" spans="1:11" x14ac:dyDescent="0.35">
      <c r="A204" s="2" t="s">
        <v>225</v>
      </c>
      <c r="B204" s="1">
        <v>45563</v>
      </c>
      <c r="C204" s="2" t="s">
        <v>328</v>
      </c>
      <c r="D204">
        <v>2024</v>
      </c>
      <c r="E204" s="2" t="s">
        <v>17</v>
      </c>
      <c r="F204" s="2" t="s">
        <v>18</v>
      </c>
      <c r="G204" s="2" t="s">
        <v>11</v>
      </c>
      <c r="H204">
        <v>2</v>
      </c>
      <c r="I204">
        <v>1200</v>
      </c>
      <c r="J204">
        <v>2400</v>
      </c>
      <c r="K204">
        <f>Table1_2[[#This Row],[Sales]]-Table1_2[[#This Row],[Cost]]</f>
        <v>1200</v>
      </c>
    </row>
    <row r="205" spans="1:11" x14ac:dyDescent="0.35">
      <c r="A205" s="2" t="s">
        <v>226</v>
      </c>
      <c r="B205" s="1">
        <v>45832</v>
      </c>
      <c r="C205" s="2" t="s">
        <v>335</v>
      </c>
      <c r="D205">
        <v>2025</v>
      </c>
      <c r="E205" s="2" t="s">
        <v>13</v>
      </c>
      <c r="F205" s="2" t="s">
        <v>63</v>
      </c>
      <c r="G205" s="2" t="s">
        <v>15</v>
      </c>
      <c r="H205">
        <v>7</v>
      </c>
      <c r="I205">
        <v>1000</v>
      </c>
      <c r="J205">
        <v>7000</v>
      </c>
      <c r="K205">
        <f>Table1_2[[#This Row],[Sales]]-Table1_2[[#This Row],[Cost]]</f>
        <v>6000</v>
      </c>
    </row>
    <row r="206" spans="1:11" x14ac:dyDescent="0.35">
      <c r="A206" s="2" t="s">
        <v>227</v>
      </c>
      <c r="B206" s="1">
        <v>45913</v>
      </c>
      <c r="C206" s="2" t="s">
        <v>328</v>
      </c>
      <c r="D206">
        <v>2025</v>
      </c>
      <c r="E206" s="2" t="s">
        <v>13</v>
      </c>
      <c r="F206" s="2" t="s">
        <v>14</v>
      </c>
      <c r="G206" s="2" t="s">
        <v>33</v>
      </c>
      <c r="H206">
        <v>7</v>
      </c>
      <c r="I206">
        <v>2000</v>
      </c>
      <c r="J206">
        <v>14000</v>
      </c>
      <c r="K206">
        <f>Table1_2[[#This Row],[Sales]]-Table1_2[[#This Row],[Cost]]</f>
        <v>12000</v>
      </c>
    </row>
    <row r="207" spans="1:11" x14ac:dyDescent="0.35">
      <c r="A207" s="2" t="s">
        <v>228</v>
      </c>
      <c r="B207" s="1">
        <v>45725</v>
      </c>
      <c r="C207" s="2" t="s">
        <v>333</v>
      </c>
      <c r="D207">
        <v>2025</v>
      </c>
      <c r="E207" s="2" t="s">
        <v>9</v>
      </c>
      <c r="F207" s="2" t="s">
        <v>10</v>
      </c>
      <c r="G207" s="2" t="s">
        <v>33</v>
      </c>
      <c r="H207">
        <v>8</v>
      </c>
      <c r="I207">
        <v>500</v>
      </c>
      <c r="J207">
        <v>4000</v>
      </c>
      <c r="K207">
        <f>Table1_2[[#This Row],[Sales]]-Table1_2[[#This Row],[Cost]]</f>
        <v>3500</v>
      </c>
    </row>
    <row r="208" spans="1:11" x14ac:dyDescent="0.35">
      <c r="A208" s="2" t="s">
        <v>229</v>
      </c>
      <c r="B208" s="1">
        <v>45508</v>
      </c>
      <c r="C208" s="2" t="s">
        <v>329</v>
      </c>
      <c r="D208">
        <v>2024</v>
      </c>
      <c r="E208" s="2" t="s">
        <v>9</v>
      </c>
      <c r="F208" s="2" t="s">
        <v>27</v>
      </c>
      <c r="G208" s="2" t="s">
        <v>15</v>
      </c>
      <c r="H208">
        <v>2</v>
      </c>
      <c r="I208">
        <v>2500</v>
      </c>
      <c r="J208">
        <v>5000</v>
      </c>
      <c r="K208">
        <f>Table1_2[[#This Row],[Sales]]-Table1_2[[#This Row],[Cost]]</f>
        <v>2500</v>
      </c>
    </row>
    <row r="209" spans="1:11" x14ac:dyDescent="0.35">
      <c r="A209" s="2" t="s">
        <v>230</v>
      </c>
      <c r="B209" s="1">
        <v>45844</v>
      </c>
      <c r="C209" s="2" t="s">
        <v>332</v>
      </c>
      <c r="D209">
        <v>2025</v>
      </c>
      <c r="E209" s="2" t="s">
        <v>13</v>
      </c>
      <c r="F209" s="2" t="s">
        <v>63</v>
      </c>
      <c r="G209" s="2" t="s">
        <v>15</v>
      </c>
      <c r="H209">
        <v>1</v>
      </c>
      <c r="I209">
        <v>1000</v>
      </c>
      <c r="J209">
        <v>1000</v>
      </c>
      <c r="K209">
        <f>Table1_2[[#This Row],[Sales]]-Table1_2[[#This Row],[Cost]]</f>
        <v>0</v>
      </c>
    </row>
    <row r="210" spans="1:11" x14ac:dyDescent="0.35">
      <c r="A210" s="2" t="s">
        <v>231</v>
      </c>
      <c r="B210" s="1">
        <v>45998</v>
      </c>
      <c r="C210" s="2" t="s">
        <v>336</v>
      </c>
      <c r="D210">
        <v>2025</v>
      </c>
      <c r="E210" s="2" t="s">
        <v>17</v>
      </c>
      <c r="F210" s="2" t="s">
        <v>18</v>
      </c>
      <c r="G210" s="2" t="s">
        <v>15</v>
      </c>
      <c r="H210">
        <v>5</v>
      </c>
      <c r="I210">
        <v>1200</v>
      </c>
      <c r="J210">
        <v>6000</v>
      </c>
      <c r="K210">
        <f>Table1_2[[#This Row],[Sales]]-Table1_2[[#This Row],[Cost]]</f>
        <v>4800</v>
      </c>
    </row>
    <row r="211" spans="1:11" x14ac:dyDescent="0.35">
      <c r="A211" s="2" t="s">
        <v>232</v>
      </c>
      <c r="B211" s="1">
        <v>45497</v>
      </c>
      <c r="C211" s="2" t="s">
        <v>332</v>
      </c>
      <c r="D211">
        <v>2024</v>
      </c>
      <c r="E211" s="2" t="s">
        <v>17</v>
      </c>
      <c r="F211" s="2" t="s">
        <v>18</v>
      </c>
      <c r="G211" s="2" t="s">
        <v>33</v>
      </c>
      <c r="H211">
        <v>2</v>
      </c>
      <c r="I211">
        <v>1200</v>
      </c>
      <c r="J211">
        <v>2400</v>
      </c>
      <c r="K211">
        <f>Table1_2[[#This Row],[Sales]]-Table1_2[[#This Row],[Cost]]</f>
        <v>1200</v>
      </c>
    </row>
    <row r="212" spans="1:11" x14ac:dyDescent="0.35">
      <c r="A212" s="2" t="s">
        <v>233</v>
      </c>
      <c r="B212" s="1">
        <v>46022</v>
      </c>
      <c r="C212" s="2" t="s">
        <v>336</v>
      </c>
      <c r="D212">
        <v>2025</v>
      </c>
      <c r="E212" s="2" t="s">
        <v>9</v>
      </c>
      <c r="F212" s="2" t="s">
        <v>29</v>
      </c>
      <c r="G212" s="2" t="s">
        <v>19</v>
      </c>
      <c r="H212">
        <v>10</v>
      </c>
      <c r="I212">
        <v>1200</v>
      </c>
      <c r="J212">
        <v>12000</v>
      </c>
      <c r="K212">
        <f>Table1_2[[#This Row],[Sales]]-Table1_2[[#This Row],[Cost]]</f>
        <v>10800</v>
      </c>
    </row>
    <row r="213" spans="1:11" x14ac:dyDescent="0.35">
      <c r="A213" s="2" t="s">
        <v>234</v>
      </c>
      <c r="B213" s="1">
        <v>45611</v>
      </c>
      <c r="C213" s="2" t="s">
        <v>331</v>
      </c>
      <c r="D213">
        <v>2024</v>
      </c>
      <c r="E213" s="2" t="s">
        <v>9</v>
      </c>
      <c r="F213" s="2" t="s">
        <v>10</v>
      </c>
      <c r="G213" s="2" t="s">
        <v>15</v>
      </c>
      <c r="H213">
        <v>3</v>
      </c>
      <c r="I213">
        <v>500</v>
      </c>
      <c r="J213">
        <v>1500</v>
      </c>
      <c r="K213">
        <f>Table1_2[[#This Row],[Sales]]-Table1_2[[#This Row],[Cost]]</f>
        <v>1000</v>
      </c>
    </row>
    <row r="214" spans="1:11" x14ac:dyDescent="0.35">
      <c r="A214" s="2" t="s">
        <v>235</v>
      </c>
      <c r="B214" s="1">
        <v>45700</v>
      </c>
      <c r="C214" s="2" t="s">
        <v>334</v>
      </c>
      <c r="D214">
        <v>2025</v>
      </c>
      <c r="E214" s="2" t="s">
        <v>17</v>
      </c>
      <c r="F214" s="2" t="s">
        <v>18</v>
      </c>
      <c r="G214" s="2" t="s">
        <v>11</v>
      </c>
      <c r="H214">
        <v>4</v>
      </c>
      <c r="I214">
        <v>1200</v>
      </c>
      <c r="J214">
        <v>4800</v>
      </c>
      <c r="K214">
        <f>Table1_2[[#This Row],[Sales]]-Table1_2[[#This Row],[Cost]]</f>
        <v>3600</v>
      </c>
    </row>
    <row r="215" spans="1:11" x14ac:dyDescent="0.35">
      <c r="A215" s="2" t="s">
        <v>236</v>
      </c>
      <c r="B215" s="1">
        <v>45979</v>
      </c>
      <c r="C215" s="2" t="s">
        <v>331</v>
      </c>
      <c r="D215">
        <v>2025</v>
      </c>
      <c r="E215" s="2" t="s">
        <v>13</v>
      </c>
      <c r="F215" s="2" t="s">
        <v>14</v>
      </c>
      <c r="G215" s="2" t="s">
        <v>11</v>
      </c>
      <c r="H215">
        <v>9</v>
      </c>
      <c r="I215">
        <v>2000</v>
      </c>
      <c r="J215">
        <v>18000</v>
      </c>
      <c r="K215">
        <f>Table1_2[[#This Row],[Sales]]-Table1_2[[#This Row],[Cost]]</f>
        <v>16000</v>
      </c>
    </row>
    <row r="216" spans="1:11" x14ac:dyDescent="0.35">
      <c r="A216" s="2" t="s">
        <v>237</v>
      </c>
      <c r="B216" s="1">
        <v>45957</v>
      </c>
      <c r="C216" s="2" t="s">
        <v>325</v>
      </c>
      <c r="D216">
        <v>2025</v>
      </c>
      <c r="E216" s="2" t="s">
        <v>13</v>
      </c>
      <c r="F216" s="2" t="s">
        <v>21</v>
      </c>
      <c r="G216" s="2" t="s">
        <v>11</v>
      </c>
      <c r="H216">
        <v>2</v>
      </c>
      <c r="I216">
        <v>1500</v>
      </c>
      <c r="J216">
        <v>3000</v>
      </c>
      <c r="K216">
        <f>Table1_2[[#This Row],[Sales]]-Table1_2[[#This Row],[Cost]]</f>
        <v>1500</v>
      </c>
    </row>
    <row r="217" spans="1:11" x14ac:dyDescent="0.35">
      <c r="A217" s="2" t="s">
        <v>238</v>
      </c>
      <c r="B217" s="1">
        <v>45674</v>
      </c>
      <c r="C217" s="2" t="s">
        <v>327</v>
      </c>
      <c r="D217">
        <v>2025</v>
      </c>
      <c r="E217" s="2" t="s">
        <v>13</v>
      </c>
      <c r="F217" s="2" t="s">
        <v>63</v>
      </c>
      <c r="G217" s="2" t="s">
        <v>19</v>
      </c>
      <c r="H217">
        <v>1</v>
      </c>
      <c r="I217">
        <v>1000</v>
      </c>
      <c r="J217">
        <v>1000</v>
      </c>
      <c r="K217">
        <f>Table1_2[[#This Row],[Sales]]-Table1_2[[#This Row],[Cost]]</f>
        <v>0</v>
      </c>
    </row>
    <row r="218" spans="1:11" x14ac:dyDescent="0.35">
      <c r="A218" s="2" t="s">
        <v>239</v>
      </c>
      <c r="B218" s="1">
        <v>45740</v>
      </c>
      <c r="C218" s="2" t="s">
        <v>333</v>
      </c>
      <c r="D218">
        <v>2025</v>
      </c>
      <c r="E218" s="2" t="s">
        <v>9</v>
      </c>
      <c r="F218" s="2" t="s">
        <v>29</v>
      </c>
      <c r="G218" s="2" t="s">
        <v>15</v>
      </c>
      <c r="H218">
        <v>2</v>
      </c>
      <c r="I218">
        <v>1200</v>
      </c>
      <c r="J218">
        <v>2400</v>
      </c>
      <c r="K218">
        <f>Table1_2[[#This Row],[Sales]]-Table1_2[[#This Row],[Cost]]</f>
        <v>1200</v>
      </c>
    </row>
    <row r="219" spans="1:11" x14ac:dyDescent="0.35">
      <c r="A219" s="2" t="s">
        <v>240</v>
      </c>
      <c r="B219" s="1">
        <v>45821</v>
      </c>
      <c r="C219" s="2" t="s">
        <v>335</v>
      </c>
      <c r="D219">
        <v>2025</v>
      </c>
      <c r="E219" s="2" t="s">
        <v>13</v>
      </c>
      <c r="F219" s="2" t="s">
        <v>14</v>
      </c>
      <c r="G219" s="2" t="s">
        <v>15</v>
      </c>
      <c r="H219">
        <v>3</v>
      </c>
      <c r="I219">
        <v>2000</v>
      </c>
      <c r="J219">
        <v>6000</v>
      </c>
      <c r="K219">
        <f>Table1_2[[#This Row],[Sales]]-Table1_2[[#This Row],[Cost]]</f>
        <v>4000</v>
      </c>
    </row>
    <row r="220" spans="1:11" x14ac:dyDescent="0.35">
      <c r="A220" s="2" t="s">
        <v>241</v>
      </c>
      <c r="B220" s="1">
        <v>45754</v>
      </c>
      <c r="C220" s="2" t="s">
        <v>326</v>
      </c>
      <c r="D220">
        <v>2025</v>
      </c>
      <c r="E220" s="2" t="s">
        <v>13</v>
      </c>
      <c r="F220" s="2" t="s">
        <v>21</v>
      </c>
      <c r="G220" s="2" t="s">
        <v>33</v>
      </c>
      <c r="H220">
        <v>1</v>
      </c>
      <c r="I220">
        <v>1500</v>
      </c>
      <c r="J220">
        <v>1500</v>
      </c>
      <c r="K220">
        <f>Table1_2[[#This Row],[Sales]]-Table1_2[[#This Row],[Cost]]</f>
        <v>0</v>
      </c>
    </row>
    <row r="221" spans="1:11" x14ac:dyDescent="0.35">
      <c r="A221" s="2" t="s">
        <v>242</v>
      </c>
      <c r="B221" s="1">
        <v>45415</v>
      </c>
      <c r="C221" s="2" t="s">
        <v>330</v>
      </c>
      <c r="D221">
        <v>2024</v>
      </c>
      <c r="E221" s="2" t="s">
        <v>9</v>
      </c>
      <c r="F221" s="2" t="s">
        <v>27</v>
      </c>
      <c r="G221" s="2" t="s">
        <v>33</v>
      </c>
      <c r="H221">
        <v>5</v>
      </c>
      <c r="I221">
        <v>2500</v>
      </c>
      <c r="J221">
        <v>12500</v>
      </c>
      <c r="K221">
        <f>Table1_2[[#This Row],[Sales]]-Table1_2[[#This Row],[Cost]]</f>
        <v>10000</v>
      </c>
    </row>
    <row r="222" spans="1:11" x14ac:dyDescent="0.35">
      <c r="A222" s="2" t="s">
        <v>243</v>
      </c>
      <c r="B222" s="1">
        <v>45545</v>
      </c>
      <c r="C222" s="2" t="s">
        <v>328</v>
      </c>
      <c r="D222">
        <v>2024</v>
      </c>
      <c r="E222" s="2" t="s">
        <v>13</v>
      </c>
      <c r="F222" s="2" t="s">
        <v>21</v>
      </c>
      <c r="G222" s="2" t="s">
        <v>33</v>
      </c>
      <c r="H222">
        <v>1</v>
      </c>
      <c r="I222">
        <v>1500</v>
      </c>
      <c r="J222">
        <v>1500</v>
      </c>
      <c r="K222">
        <f>Table1_2[[#This Row],[Sales]]-Table1_2[[#This Row],[Cost]]</f>
        <v>0</v>
      </c>
    </row>
    <row r="223" spans="1:11" x14ac:dyDescent="0.35">
      <c r="A223" s="2" t="s">
        <v>244</v>
      </c>
      <c r="B223" s="1">
        <v>45522</v>
      </c>
      <c r="C223" s="2" t="s">
        <v>329</v>
      </c>
      <c r="D223">
        <v>2024</v>
      </c>
      <c r="E223" s="2" t="s">
        <v>13</v>
      </c>
      <c r="F223" s="2" t="s">
        <v>14</v>
      </c>
      <c r="G223" s="2" t="s">
        <v>33</v>
      </c>
      <c r="H223">
        <v>2</v>
      </c>
      <c r="I223">
        <v>2000</v>
      </c>
      <c r="J223">
        <v>4000</v>
      </c>
      <c r="K223">
        <f>Table1_2[[#This Row],[Sales]]-Table1_2[[#This Row],[Cost]]</f>
        <v>2000</v>
      </c>
    </row>
    <row r="224" spans="1:11" x14ac:dyDescent="0.35">
      <c r="A224" s="2" t="s">
        <v>245</v>
      </c>
      <c r="B224" s="1">
        <v>45357</v>
      </c>
      <c r="C224" s="2" t="s">
        <v>333</v>
      </c>
      <c r="D224">
        <v>2024</v>
      </c>
      <c r="E224" s="2" t="s">
        <v>17</v>
      </c>
      <c r="F224" s="2" t="s">
        <v>18</v>
      </c>
      <c r="G224" s="2" t="s">
        <v>33</v>
      </c>
      <c r="H224">
        <v>3</v>
      </c>
      <c r="I224">
        <v>1200</v>
      </c>
      <c r="J224">
        <v>3600</v>
      </c>
      <c r="K224">
        <f>Table1_2[[#This Row],[Sales]]-Table1_2[[#This Row],[Cost]]</f>
        <v>2400</v>
      </c>
    </row>
    <row r="225" spans="1:11" x14ac:dyDescent="0.35">
      <c r="A225" s="2" t="s">
        <v>246</v>
      </c>
      <c r="B225" s="1">
        <v>45638</v>
      </c>
      <c r="C225" s="2" t="s">
        <v>336</v>
      </c>
      <c r="D225">
        <v>2024</v>
      </c>
      <c r="E225" s="2" t="s">
        <v>9</v>
      </c>
      <c r="F225" s="2" t="s">
        <v>27</v>
      </c>
      <c r="G225" s="2" t="s">
        <v>33</v>
      </c>
      <c r="H225">
        <v>1</v>
      </c>
      <c r="I225">
        <v>2500</v>
      </c>
      <c r="J225">
        <v>2500</v>
      </c>
      <c r="K225">
        <f>Table1_2[[#This Row],[Sales]]-Table1_2[[#This Row],[Cost]]</f>
        <v>0</v>
      </c>
    </row>
    <row r="226" spans="1:11" x14ac:dyDescent="0.35">
      <c r="A226" s="2" t="s">
        <v>247</v>
      </c>
      <c r="B226" s="1">
        <v>45313</v>
      </c>
      <c r="C226" s="2" t="s">
        <v>327</v>
      </c>
      <c r="D226">
        <v>2024</v>
      </c>
      <c r="E226" s="2" t="s">
        <v>17</v>
      </c>
      <c r="F226" s="2" t="s">
        <v>18</v>
      </c>
      <c r="G226" s="2" t="s">
        <v>19</v>
      </c>
      <c r="H226">
        <v>1</v>
      </c>
      <c r="I226">
        <v>1200</v>
      </c>
      <c r="J226">
        <v>1200</v>
      </c>
      <c r="K226">
        <f>Table1_2[[#This Row],[Sales]]-Table1_2[[#This Row],[Cost]]</f>
        <v>0</v>
      </c>
    </row>
    <row r="227" spans="1:11" x14ac:dyDescent="0.35">
      <c r="A227" s="2" t="s">
        <v>248</v>
      </c>
      <c r="B227" s="1">
        <v>45894</v>
      </c>
      <c r="C227" s="2" t="s">
        <v>329</v>
      </c>
      <c r="D227">
        <v>2025</v>
      </c>
      <c r="E227" s="2" t="s">
        <v>17</v>
      </c>
      <c r="F227" s="2" t="s">
        <v>18</v>
      </c>
      <c r="G227" s="2" t="s">
        <v>15</v>
      </c>
      <c r="H227">
        <v>4</v>
      </c>
      <c r="I227">
        <v>1200</v>
      </c>
      <c r="J227">
        <v>4800</v>
      </c>
      <c r="K227">
        <f>Table1_2[[#This Row],[Sales]]-Table1_2[[#This Row],[Cost]]</f>
        <v>3600</v>
      </c>
    </row>
    <row r="228" spans="1:11" x14ac:dyDescent="0.35">
      <c r="A228" s="2" t="s">
        <v>249</v>
      </c>
      <c r="B228" s="1">
        <v>45859</v>
      </c>
      <c r="C228" s="2" t="s">
        <v>332</v>
      </c>
      <c r="D228">
        <v>2025</v>
      </c>
      <c r="E228" s="2" t="s">
        <v>9</v>
      </c>
      <c r="F228" s="2" t="s">
        <v>27</v>
      </c>
      <c r="G228" s="2" t="s">
        <v>11</v>
      </c>
      <c r="H228">
        <v>1</v>
      </c>
      <c r="I228">
        <v>2500</v>
      </c>
      <c r="J228">
        <v>2500</v>
      </c>
      <c r="K228">
        <f>Table1_2[[#This Row],[Sales]]-Table1_2[[#This Row],[Cost]]</f>
        <v>0</v>
      </c>
    </row>
    <row r="229" spans="1:11" x14ac:dyDescent="0.35">
      <c r="A229" s="2" t="s">
        <v>250</v>
      </c>
      <c r="B229" s="1">
        <v>45527</v>
      </c>
      <c r="C229" s="2" t="s">
        <v>329</v>
      </c>
      <c r="D229">
        <v>2024</v>
      </c>
      <c r="E229" s="2" t="s">
        <v>13</v>
      </c>
      <c r="F229" s="2" t="s">
        <v>14</v>
      </c>
      <c r="G229" s="2" t="s">
        <v>11</v>
      </c>
      <c r="H229">
        <v>1</v>
      </c>
      <c r="I229">
        <v>2000</v>
      </c>
      <c r="J229">
        <v>2000</v>
      </c>
      <c r="K229">
        <f>Table1_2[[#This Row],[Sales]]-Table1_2[[#This Row],[Cost]]</f>
        <v>0</v>
      </c>
    </row>
    <row r="230" spans="1:11" x14ac:dyDescent="0.35">
      <c r="A230" s="2" t="s">
        <v>251</v>
      </c>
      <c r="B230" s="1">
        <v>45894</v>
      </c>
      <c r="C230" s="2" t="s">
        <v>329</v>
      </c>
      <c r="D230">
        <v>2025</v>
      </c>
      <c r="E230" s="2" t="s">
        <v>9</v>
      </c>
      <c r="F230" s="2" t="s">
        <v>27</v>
      </c>
      <c r="G230" s="2" t="s">
        <v>33</v>
      </c>
      <c r="H230">
        <v>4</v>
      </c>
      <c r="I230">
        <v>2500</v>
      </c>
      <c r="J230">
        <v>10000</v>
      </c>
      <c r="K230">
        <f>Table1_2[[#This Row],[Sales]]-Table1_2[[#This Row],[Cost]]</f>
        <v>7500</v>
      </c>
    </row>
    <row r="231" spans="1:11" x14ac:dyDescent="0.35">
      <c r="A231" s="2" t="s">
        <v>252</v>
      </c>
      <c r="B231" s="1">
        <v>45517</v>
      </c>
      <c r="C231" s="2" t="s">
        <v>329</v>
      </c>
      <c r="D231">
        <v>2024</v>
      </c>
      <c r="E231" s="2" t="s">
        <v>13</v>
      </c>
      <c r="F231" s="2" t="s">
        <v>63</v>
      </c>
      <c r="G231" s="2" t="s">
        <v>33</v>
      </c>
      <c r="H231">
        <v>3</v>
      </c>
      <c r="I231">
        <v>1000</v>
      </c>
      <c r="J231">
        <v>3000</v>
      </c>
      <c r="K231">
        <f>Table1_2[[#This Row],[Sales]]-Table1_2[[#This Row],[Cost]]</f>
        <v>2000</v>
      </c>
    </row>
    <row r="232" spans="1:11" x14ac:dyDescent="0.35">
      <c r="A232" s="2" t="s">
        <v>253</v>
      </c>
      <c r="B232" s="1">
        <v>45299</v>
      </c>
      <c r="C232" s="2" t="s">
        <v>327</v>
      </c>
      <c r="D232">
        <v>2024</v>
      </c>
      <c r="E232" s="2" t="s">
        <v>17</v>
      </c>
      <c r="F232" s="2" t="s">
        <v>18</v>
      </c>
      <c r="G232" s="2" t="s">
        <v>33</v>
      </c>
      <c r="H232">
        <v>1</v>
      </c>
      <c r="I232">
        <v>1200</v>
      </c>
      <c r="J232">
        <v>1200</v>
      </c>
      <c r="K232">
        <f>Table1_2[[#This Row],[Sales]]-Table1_2[[#This Row],[Cost]]</f>
        <v>0</v>
      </c>
    </row>
    <row r="233" spans="1:11" x14ac:dyDescent="0.35">
      <c r="A233" s="2" t="s">
        <v>254</v>
      </c>
      <c r="B233" s="1">
        <v>45364</v>
      </c>
      <c r="C233" s="2" t="s">
        <v>333</v>
      </c>
      <c r="D233">
        <v>2024</v>
      </c>
      <c r="E233" s="2" t="s">
        <v>13</v>
      </c>
      <c r="F233" s="2" t="s">
        <v>63</v>
      </c>
      <c r="G233" s="2" t="s">
        <v>33</v>
      </c>
      <c r="H233">
        <v>2</v>
      </c>
      <c r="I233">
        <v>1000</v>
      </c>
      <c r="J233">
        <v>2000</v>
      </c>
      <c r="K233">
        <f>Table1_2[[#This Row],[Sales]]-Table1_2[[#This Row],[Cost]]</f>
        <v>1000</v>
      </c>
    </row>
    <row r="234" spans="1:11" x14ac:dyDescent="0.35">
      <c r="A234" s="2" t="s">
        <v>255</v>
      </c>
      <c r="B234" s="1">
        <v>46016</v>
      </c>
      <c r="C234" s="2" t="s">
        <v>336</v>
      </c>
      <c r="D234">
        <v>2025</v>
      </c>
      <c r="E234" s="2" t="s">
        <v>9</v>
      </c>
      <c r="F234" s="2" t="s">
        <v>29</v>
      </c>
      <c r="G234" s="2" t="s">
        <v>19</v>
      </c>
      <c r="H234">
        <v>4</v>
      </c>
      <c r="I234">
        <v>1200</v>
      </c>
      <c r="J234">
        <v>4800</v>
      </c>
      <c r="K234">
        <f>Table1_2[[#This Row],[Sales]]-Table1_2[[#This Row],[Cost]]</f>
        <v>3600</v>
      </c>
    </row>
    <row r="235" spans="1:11" x14ac:dyDescent="0.35">
      <c r="A235" s="2" t="s">
        <v>256</v>
      </c>
      <c r="B235" s="1">
        <v>45938</v>
      </c>
      <c r="C235" s="2" t="s">
        <v>325</v>
      </c>
      <c r="D235">
        <v>2025</v>
      </c>
      <c r="E235" s="2" t="s">
        <v>13</v>
      </c>
      <c r="F235" s="2" t="s">
        <v>21</v>
      </c>
      <c r="G235" s="2" t="s">
        <v>15</v>
      </c>
      <c r="H235">
        <v>1</v>
      </c>
      <c r="I235">
        <v>1500</v>
      </c>
      <c r="J235">
        <v>1500</v>
      </c>
      <c r="K235">
        <f>Table1_2[[#This Row],[Sales]]-Table1_2[[#This Row],[Cost]]</f>
        <v>0</v>
      </c>
    </row>
    <row r="236" spans="1:11" x14ac:dyDescent="0.35">
      <c r="A236" s="2" t="s">
        <v>257</v>
      </c>
      <c r="B236" s="1">
        <v>45352</v>
      </c>
      <c r="C236" s="2" t="s">
        <v>333</v>
      </c>
      <c r="D236">
        <v>2024</v>
      </c>
      <c r="E236" s="2" t="s">
        <v>17</v>
      </c>
      <c r="F236" s="2" t="s">
        <v>18</v>
      </c>
      <c r="G236" s="2" t="s">
        <v>15</v>
      </c>
      <c r="H236">
        <v>1</v>
      </c>
      <c r="I236">
        <v>1200</v>
      </c>
      <c r="J236">
        <v>1200</v>
      </c>
      <c r="K236">
        <f>Table1_2[[#This Row],[Sales]]-Table1_2[[#This Row],[Cost]]</f>
        <v>0</v>
      </c>
    </row>
    <row r="237" spans="1:11" x14ac:dyDescent="0.35">
      <c r="A237" s="2" t="s">
        <v>258</v>
      </c>
      <c r="B237" s="1">
        <v>45526</v>
      </c>
      <c r="C237" s="2" t="s">
        <v>329</v>
      </c>
      <c r="D237">
        <v>2024</v>
      </c>
      <c r="E237" s="2" t="s">
        <v>13</v>
      </c>
      <c r="F237" s="2" t="s">
        <v>14</v>
      </c>
      <c r="G237" s="2" t="s">
        <v>19</v>
      </c>
      <c r="H237">
        <v>1</v>
      </c>
      <c r="I237">
        <v>2000</v>
      </c>
      <c r="J237">
        <v>2000</v>
      </c>
      <c r="K237">
        <f>Table1_2[[#This Row],[Sales]]-Table1_2[[#This Row],[Cost]]</f>
        <v>0</v>
      </c>
    </row>
    <row r="238" spans="1:11" x14ac:dyDescent="0.35">
      <c r="A238" s="2" t="s">
        <v>259</v>
      </c>
      <c r="B238" s="1">
        <v>45361</v>
      </c>
      <c r="C238" s="2" t="s">
        <v>333</v>
      </c>
      <c r="D238">
        <v>2024</v>
      </c>
      <c r="E238" s="2" t="s">
        <v>13</v>
      </c>
      <c r="F238" s="2" t="s">
        <v>21</v>
      </c>
      <c r="G238" s="2" t="s">
        <v>19</v>
      </c>
      <c r="H238">
        <v>3</v>
      </c>
      <c r="I238">
        <v>1500</v>
      </c>
      <c r="J238">
        <v>4500</v>
      </c>
      <c r="K238">
        <f>Table1_2[[#This Row],[Sales]]-Table1_2[[#This Row],[Cost]]</f>
        <v>3000</v>
      </c>
    </row>
    <row r="239" spans="1:11" x14ac:dyDescent="0.35">
      <c r="A239" s="2" t="s">
        <v>260</v>
      </c>
      <c r="B239" s="1">
        <v>45324</v>
      </c>
      <c r="C239" s="2" t="s">
        <v>334</v>
      </c>
      <c r="D239">
        <v>2024</v>
      </c>
      <c r="E239" s="2" t="s">
        <v>17</v>
      </c>
      <c r="F239" s="2" t="s">
        <v>18</v>
      </c>
      <c r="G239" s="2" t="s">
        <v>11</v>
      </c>
      <c r="H239">
        <v>3</v>
      </c>
      <c r="I239">
        <v>1200</v>
      </c>
      <c r="J239">
        <v>3600</v>
      </c>
      <c r="K239">
        <f>Table1_2[[#This Row],[Sales]]-Table1_2[[#This Row],[Cost]]</f>
        <v>2400</v>
      </c>
    </row>
    <row r="240" spans="1:11" x14ac:dyDescent="0.35">
      <c r="A240" s="2" t="s">
        <v>261</v>
      </c>
      <c r="B240" s="1">
        <v>45630</v>
      </c>
      <c r="C240" s="2" t="s">
        <v>336</v>
      </c>
      <c r="D240">
        <v>2024</v>
      </c>
      <c r="E240" s="2" t="s">
        <v>9</v>
      </c>
      <c r="F240" s="2" t="s">
        <v>27</v>
      </c>
      <c r="G240" s="2" t="s">
        <v>19</v>
      </c>
      <c r="H240">
        <v>1</v>
      </c>
      <c r="I240">
        <v>2500</v>
      </c>
      <c r="J240">
        <v>2500</v>
      </c>
      <c r="K240">
        <f>Table1_2[[#This Row],[Sales]]-Table1_2[[#This Row],[Cost]]</f>
        <v>0</v>
      </c>
    </row>
    <row r="241" spans="1:11" x14ac:dyDescent="0.35">
      <c r="A241" s="2" t="s">
        <v>262</v>
      </c>
      <c r="B241" s="1">
        <v>45364</v>
      </c>
      <c r="C241" s="2" t="s">
        <v>333</v>
      </c>
      <c r="D241">
        <v>2024</v>
      </c>
      <c r="E241" s="2" t="s">
        <v>17</v>
      </c>
      <c r="F241" s="2" t="s">
        <v>18</v>
      </c>
      <c r="G241" s="2" t="s">
        <v>19</v>
      </c>
      <c r="H241">
        <v>2</v>
      </c>
      <c r="I241">
        <v>1200</v>
      </c>
      <c r="J241">
        <v>2400</v>
      </c>
      <c r="K241">
        <f>Table1_2[[#This Row],[Sales]]-Table1_2[[#This Row],[Cost]]</f>
        <v>1200</v>
      </c>
    </row>
    <row r="242" spans="1:11" x14ac:dyDescent="0.35">
      <c r="A242" s="2" t="s">
        <v>263</v>
      </c>
      <c r="B242" s="1">
        <v>45818</v>
      </c>
      <c r="C242" s="2" t="s">
        <v>335</v>
      </c>
      <c r="D242">
        <v>2025</v>
      </c>
      <c r="E242" s="2" t="s">
        <v>13</v>
      </c>
      <c r="F242" s="2" t="s">
        <v>21</v>
      </c>
      <c r="G242" s="2" t="s">
        <v>11</v>
      </c>
      <c r="H242">
        <v>2</v>
      </c>
      <c r="I242">
        <v>1500</v>
      </c>
      <c r="J242">
        <v>3000</v>
      </c>
      <c r="K242">
        <f>Table1_2[[#This Row],[Sales]]-Table1_2[[#This Row],[Cost]]</f>
        <v>1500</v>
      </c>
    </row>
    <row r="243" spans="1:11" x14ac:dyDescent="0.35">
      <c r="A243" s="2" t="s">
        <v>264</v>
      </c>
      <c r="B243" s="1">
        <v>45535</v>
      </c>
      <c r="C243" s="2" t="s">
        <v>329</v>
      </c>
      <c r="D243">
        <v>2024</v>
      </c>
      <c r="E243" s="2" t="s">
        <v>9</v>
      </c>
      <c r="F243" s="2" t="s">
        <v>27</v>
      </c>
      <c r="G243" s="2" t="s">
        <v>15</v>
      </c>
      <c r="H243">
        <v>2</v>
      </c>
      <c r="I243">
        <v>2500</v>
      </c>
      <c r="J243">
        <v>5000</v>
      </c>
      <c r="K243">
        <f>Table1_2[[#This Row],[Sales]]-Table1_2[[#This Row],[Cost]]</f>
        <v>2500</v>
      </c>
    </row>
    <row r="244" spans="1:11" x14ac:dyDescent="0.35">
      <c r="A244" s="2" t="s">
        <v>265</v>
      </c>
      <c r="B244" s="1">
        <v>45577</v>
      </c>
      <c r="C244" s="2" t="s">
        <v>325</v>
      </c>
      <c r="D244">
        <v>2024</v>
      </c>
      <c r="E244" s="2" t="s">
        <v>9</v>
      </c>
      <c r="F244" s="2" t="s">
        <v>10</v>
      </c>
      <c r="G244" s="2" t="s">
        <v>11</v>
      </c>
      <c r="H244">
        <v>2</v>
      </c>
      <c r="I244">
        <v>500</v>
      </c>
      <c r="J244">
        <v>1000</v>
      </c>
      <c r="K244">
        <f>Table1_2[[#This Row],[Sales]]-Table1_2[[#This Row],[Cost]]</f>
        <v>500</v>
      </c>
    </row>
    <row r="245" spans="1:11" x14ac:dyDescent="0.35">
      <c r="A245" s="2" t="s">
        <v>266</v>
      </c>
      <c r="B245" s="1">
        <v>45977</v>
      </c>
      <c r="C245" s="2" t="s">
        <v>331</v>
      </c>
      <c r="D245">
        <v>2025</v>
      </c>
      <c r="E245" s="2" t="s">
        <v>9</v>
      </c>
      <c r="F245" s="2" t="s">
        <v>27</v>
      </c>
      <c r="G245" s="2" t="s">
        <v>19</v>
      </c>
      <c r="H245">
        <v>5</v>
      </c>
      <c r="I245">
        <v>2500</v>
      </c>
      <c r="J245">
        <v>12500</v>
      </c>
      <c r="K245">
        <f>Table1_2[[#This Row],[Sales]]-Table1_2[[#This Row],[Cost]]</f>
        <v>10000</v>
      </c>
    </row>
    <row r="246" spans="1:11" x14ac:dyDescent="0.35">
      <c r="A246" s="2" t="s">
        <v>267</v>
      </c>
      <c r="B246" s="1">
        <v>45789</v>
      </c>
      <c r="C246" s="2" t="s">
        <v>330</v>
      </c>
      <c r="D246">
        <v>2025</v>
      </c>
      <c r="E246" s="2" t="s">
        <v>13</v>
      </c>
      <c r="F246" s="2" t="s">
        <v>21</v>
      </c>
      <c r="G246" s="2" t="s">
        <v>19</v>
      </c>
      <c r="H246">
        <v>2</v>
      </c>
      <c r="I246">
        <v>1500</v>
      </c>
      <c r="J246">
        <v>3000</v>
      </c>
      <c r="K246">
        <f>Table1_2[[#This Row],[Sales]]-Table1_2[[#This Row],[Cost]]</f>
        <v>1500</v>
      </c>
    </row>
    <row r="247" spans="1:11" x14ac:dyDescent="0.35">
      <c r="A247" s="2" t="s">
        <v>268</v>
      </c>
      <c r="B247" s="1">
        <v>45511</v>
      </c>
      <c r="C247" s="2" t="s">
        <v>329</v>
      </c>
      <c r="D247">
        <v>2024</v>
      </c>
      <c r="E247" s="2" t="s">
        <v>9</v>
      </c>
      <c r="F247" s="2" t="s">
        <v>27</v>
      </c>
      <c r="G247" s="2" t="s">
        <v>33</v>
      </c>
      <c r="H247">
        <v>5</v>
      </c>
      <c r="I247">
        <v>2500</v>
      </c>
      <c r="J247">
        <v>12500</v>
      </c>
      <c r="K247">
        <f>Table1_2[[#This Row],[Sales]]-Table1_2[[#This Row],[Cost]]</f>
        <v>10000</v>
      </c>
    </row>
    <row r="248" spans="1:11" x14ac:dyDescent="0.35">
      <c r="A248" s="2" t="s">
        <v>269</v>
      </c>
      <c r="B248" s="1">
        <v>45844</v>
      </c>
      <c r="C248" s="2" t="s">
        <v>332</v>
      </c>
      <c r="D248">
        <v>2025</v>
      </c>
      <c r="E248" s="2" t="s">
        <v>9</v>
      </c>
      <c r="F248" s="2" t="s">
        <v>10</v>
      </c>
      <c r="G248" s="2" t="s">
        <v>11</v>
      </c>
      <c r="H248">
        <v>4</v>
      </c>
      <c r="I248">
        <v>500</v>
      </c>
      <c r="J248">
        <v>2000</v>
      </c>
      <c r="K248">
        <f>Table1_2[[#This Row],[Sales]]-Table1_2[[#This Row],[Cost]]</f>
        <v>1500</v>
      </c>
    </row>
    <row r="249" spans="1:11" x14ac:dyDescent="0.35">
      <c r="A249" s="2" t="s">
        <v>270</v>
      </c>
      <c r="B249" s="1">
        <v>45427</v>
      </c>
      <c r="C249" s="2" t="s">
        <v>330</v>
      </c>
      <c r="D249">
        <v>2024</v>
      </c>
      <c r="E249" s="2" t="s">
        <v>13</v>
      </c>
      <c r="F249" s="2" t="s">
        <v>14</v>
      </c>
      <c r="G249" s="2" t="s">
        <v>11</v>
      </c>
      <c r="H249">
        <v>2</v>
      </c>
      <c r="I249">
        <v>2000</v>
      </c>
      <c r="J249">
        <v>4000</v>
      </c>
      <c r="K249">
        <f>Table1_2[[#This Row],[Sales]]-Table1_2[[#This Row],[Cost]]</f>
        <v>2000</v>
      </c>
    </row>
    <row r="250" spans="1:11" x14ac:dyDescent="0.35">
      <c r="A250" s="2" t="s">
        <v>271</v>
      </c>
      <c r="B250" s="1">
        <v>45876</v>
      </c>
      <c r="C250" s="2" t="s">
        <v>329</v>
      </c>
      <c r="D250">
        <v>2025</v>
      </c>
      <c r="E250" s="2" t="s">
        <v>17</v>
      </c>
      <c r="F250" s="2" t="s">
        <v>18</v>
      </c>
      <c r="G250" s="2" t="s">
        <v>11</v>
      </c>
      <c r="H250">
        <v>5</v>
      </c>
      <c r="I250">
        <v>1200</v>
      </c>
      <c r="J250">
        <v>6000</v>
      </c>
      <c r="K250">
        <f>Table1_2[[#This Row],[Sales]]-Table1_2[[#This Row],[Cost]]</f>
        <v>4800</v>
      </c>
    </row>
    <row r="251" spans="1:11" x14ac:dyDescent="0.35">
      <c r="A251" s="2" t="s">
        <v>272</v>
      </c>
      <c r="B251" s="1">
        <v>45882</v>
      </c>
      <c r="C251" s="2" t="s">
        <v>329</v>
      </c>
      <c r="D251">
        <v>2025</v>
      </c>
      <c r="E251" s="2" t="s">
        <v>13</v>
      </c>
      <c r="F251" s="2" t="s">
        <v>14</v>
      </c>
      <c r="G251" s="2" t="s">
        <v>11</v>
      </c>
      <c r="H251">
        <v>1</v>
      </c>
      <c r="I251">
        <v>2000</v>
      </c>
      <c r="J251">
        <v>2000</v>
      </c>
      <c r="K251">
        <f>Table1_2[[#This Row],[Sales]]-Table1_2[[#This Row],[Cost]]</f>
        <v>0</v>
      </c>
    </row>
    <row r="252" spans="1:11" x14ac:dyDescent="0.35">
      <c r="A252" s="2" t="s">
        <v>273</v>
      </c>
      <c r="B252" s="1">
        <v>45776</v>
      </c>
      <c r="C252" s="2" t="s">
        <v>326</v>
      </c>
      <c r="D252">
        <v>2025</v>
      </c>
      <c r="E252" s="2" t="s">
        <v>13</v>
      </c>
      <c r="F252" s="2" t="s">
        <v>63</v>
      </c>
      <c r="G252" s="2" t="s">
        <v>33</v>
      </c>
      <c r="H252">
        <v>3</v>
      </c>
      <c r="I252">
        <v>1000</v>
      </c>
      <c r="J252">
        <v>3000</v>
      </c>
      <c r="K252">
        <f>Table1_2[[#This Row],[Sales]]-Table1_2[[#This Row],[Cost]]</f>
        <v>2000</v>
      </c>
    </row>
    <row r="253" spans="1:11" x14ac:dyDescent="0.35">
      <c r="A253" s="2" t="s">
        <v>274</v>
      </c>
      <c r="B253" s="1">
        <v>45540</v>
      </c>
      <c r="C253" s="2" t="s">
        <v>328</v>
      </c>
      <c r="D253">
        <v>2024</v>
      </c>
      <c r="E253" s="2" t="s">
        <v>9</v>
      </c>
      <c r="F253" s="2" t="s">
        <v>10</v>
      </c>
      <c r="G253" s="2" t="s">
        <v>33</v>
      </c>
      <c r="H253">
        <v>1</v>
      </c>
      <c r="I253">
        <v>500</v>
      </c>
      <c r="J253">
        <v>500</v>
      </c>
      <c r="K253">
        <f>Table1_2[[#This Row],[Sales]]-Table1_2[[#This Row],[Cost]]</f>
        <v>0</v>
      </c>
    </row>
    <row r="254" spans="1:11" x14ac:dyDescent="0.35">
      <c r="A254" s="2" t="s">
        <v>275</v>
      </c>
      <c r="B254" s="1">
        <v>45776</v>
      </c>
      <c r="C254" s="2" t="s">
        <v>326</v>
      </c>
      <c r="D254">
        <v>2025</v>
      </c>
      <c r="E254" s="2" t="s">
        <v>9</v>
      </c>
      <c r="F254" s="2" t="s">
        <v>27</v>
      </c>
      <c r="G254" s="2" t="s">
        <v>19</v>
      </c>
      <c r="H254">
        <v>1</v>
      </c>
      <c r="I254">
        <v>2500</v>
      </c>
      <c r="J254">
        <v>2500</v>
      </c>
      <c r="K254">
        <f>Table1_2[[#This Row],[Sales]]-Table1_2[[#This Row],[Cost]]</f>
        <v>0</v>
      </c>
    </row>
    <row r="255" spans="1:11" x14ac:dyDescent="0.35">
      <c r="A255" s="2" t="s">
        <v>276</v>
      </c>
      <c r="B255" s="1">
        <v>45708</v>
      </c>
      <c r="C255" s="2" t="s">
        <v>334</v>
      </c>
      <c r="D255">
        <v>2025</v>
      </c>
      <c r="E255" s="2" t="s">
        <v>9</v>
      </c>
      <c r="F255" s="2" t="s">
        <v>29</v>
      </c>
      <c r="G255" s="2" t="s">
        <v>15</v>
      </c>
      <c r="H255">
        <v>4</v>
      </c>
      <c r="I255">
        <v>1200</v>
      </c>
      <c r="J255">
        <v>4800</v>
      </c>
      <c r="K255">
        <f>Table1_2[[#This Row],[Sales]]-Table1_2[[#This Row],[Cost]]</f>
        <v>3600</v>
      </c>
    </row>
    <row r="256" spans="1:11" x14ac:dyDescent="0.35">
      <c r="A256" s="2" t="s">
        <v>277</v>
      </c>
      <c r="B256" s="1">
        <v>45486</v>
      </c>
      <c r="C256" s="2" t="s">
        <v>332</v>
      </c>
      <c r="D256">
        <v>2024</v>
      </c>
      <c r="E256" s="2" t="s">
        <v>17</v>
      </c>
      <c r="F256" s="2" t="s">
        <v>18</v>
      </c>
      <c r="G256" s="2" t="s">
        <v>33</v>
      </c>
      <c r="H256">
        <v>5</v>
      </c>
      <c r="I256">
        <v>1200</v>
      </c>
      <c r="J256">
        <v>6000</v>
      </c>
      <c r="K256">
        <f>Table1_2[[#This Row],[Sales]]-Table1_2[[#This Row],[Cost]]</f>
        <v>4800</v>
      </c>
    </row>
    <row r="257" spans="1:11" x14ac:dyDescent="0.35">
      <c r="A257" s="2" t="s">
        <v>278</v>
      </c>
      <c r="B257" s="1">
        <v>45388</v>
      </c>
      <c r="C257" s="2" t="s">
        <v>326</v>
      </c>
      <c r="D257">
        <v>2024</v>
      </c>
      <c r="E257" s="2" t="s">
        <v>17</v>
      </c>
      <c r="F257" s="2" t="s">
        <v>18</v>
      </c>
      <c r="G257" s="2" t="s">
        <v>11</v>
      </c>
      <c r="H257">
        <v>1</v>
      </c>
      <c r="I257">
        <v>1200</v>
      </c>
      <c r="J257">
        <v>1200</v>
      </c>
      <c r="K257">
        <f>Table1_2[[#This Row],[Sales]]-Table1_2[[#This Row],[Cost]]</f>
        <v>0</v>
      </c>
    </row>
    <row r="258" spans="1:11" x14ac:dyDescent="0.35">
      <c r="A258" s="2" t="s">
        <v>279</v>
      </c>
      <c r="B258" s="1">
        <v>45391</v>
      </c>
      <c r="C258" s="2" t="s">
        <v>326</v>
      </c>
      <c r="D258">
        <v>2024</v>
      </c>
      <c r="E258" s="2" t="s">
        <v>17</v>
      </c>
      <c r="F258" s="2" t="s">
        <v>18</v>
      </c>
      <c r="G258" s="2" t="s">
        <v>33</v>
      </c>
      <c r="H258">
        <v>4</v>
      </c>
      <c r="I258">
        <v>1200</v>
      </c>
      <c r="J258">
        <v>4800</v>
      </c>
      <c r="K258">
        <f>Table1_2[[#This Row],[Sales]]-Table1_2[[#This Row],[Cost]]</f>
        <v>3600</v>
      </c>
    </row>
    <row r="259" spans="1:11" x14ac:dyDescent="0.35">
      <c r="A259" s="2" t="s">
        <v>280</v>
      </c>
      <c r="B259" s="1">
        <v>45966</v>
      </c>
      <c r="C259" s="2" t="s">
        <v>331</v>
      </c>
      <c r="D259">
        <v>2025</v>
      </c>
      <c r="E259" s="2" t="s">
        <v>9</v>
      </c>
      <c r="F259" s="2" t="s">
        <v>10</v>
      </c>
      <c r="G259" s="2" t="s">
        <v>15</v>
      </c>
      <c r="H259">
        <v>4</v>
      </c>
      <c r="I259">
        <v>500</v>
      </c>
      <c r="J259">
        <v>2000</v>
      </c>
      <c r="K259">
        <f>Table1_2[[#This Row],[Sales]]-Table1_2[[#This Row],[Cost]]</f>
        <v>1500</v>
      </c>
    </row>
    <row r="260" spans="1:11" x14ac:dyDescent="0.35">
      <c r="A260" s="2" t="s">
        <v>281</v>
      </c>
      <c r="B260" s="1">
        <v>45733</v>
      </c>
      <c r="C260" s="2" t="s">
        <v>333</v>
      </c>
      <c r="D260">
        <v>2025</v>
      </c>
      <c r="E260" s="2" t="s">
        <v>13</v>
      </c>
      <c r="F260" s="2" t="s">
        <v>14</v>
      </c>
      <c r="G260" s="2" t="s">
        <v>11</v>
      </c>
      <c r="H260">
        <v>2</v>
      </c>
      <c r="I260">
        <v>2000</v>
      </c>
      <c r="J260">
        <v>4000</v>
      </c>
      <c r="K260">
        <f>Table1_2[[#This Row],[Sales]]-Table1_2[[#This Row],[Cost]]</f>
        <v>2000</v>
      </c>
    </row>
    <row r="261" spans="1:11" x14ac:dyDescent="0.35">
      <c r="A261" s="2" t="s">
        <v>282</v>
      </c>
      <c r="B261" s="1">
        <v>45654</v>
      </c>
      <c r="C261" s="2" t="s">
        <v>336</v>
      </c>
      <c r="D261">
        <v>2024</v>
      </c>
      <c r="E261" s="2" t="s">
        <v>13</v>
      </c>
      <c r="F261" s="2" t="s">
        <v>63</v>
      </c>
      <c r="G261" s="2" t="s">
        <v>15</v>
      </c>
      <c r="H261">
        <v>2</v>
      </c>
      <c r="I261">
        <v>1000</v>
      </c>
      <c r="J261">
        <v>2000</v>
      </c>
      <c r="K261">
        <f>Table1_2[[#This Row],[Sales]]-Table1_2[[#This Row],[Cost]]</f>
        <v>1000</v>
      </c>
    </row>
    <row r="262" spans="1:11" x14ac:dyDescent="0.35">
      <c r="A262" s="2" t="s">
        <v>283</v>
      </c>
      <c r="B262" s="1">
        <v>45725</v>
      </c>
      <c r="C262" s="2" t="s">
        <v>333</v>
      </c>
      <c r="D262">
        <v>2025</v>
      </c>
      <c r="E262" s="2" t="s">
        <v>9</v>
      </c>
      <c r="F262" s="2" t="s">
        <v>10</v>
      </c>
      <c r="G262" s="2" t="s">
        <v>11</v>
      </c>
      <c r="H262">
        <v>1</v>
      </c>
      <c r="I262">
        <v>500</v>
      </c>
      <c r="J262">
        <v>500</v>
      </c>
      <c r="K262">
        <f>Table1_2[[#This Row],[Sales]]-Table1_2[[#This Row],[Cost]]</f>
        <v>0</v>
      </c>
    </row>
    <row r="263" spans="1:11" x14ac:dyDescent="0.35">
      <c r="A263" s="2" t="s">
        <v>284</v>
      </c>
      <c r="B263" s="1">
        <v>45712</v>
      </c>
      <c r="C263" s="2" t="s">
        <v>334</v>
      </c>
      <c r="D263">
        <v>2025</v>
      </c>
      <c r="E263" s="2" t="s">
        <v>9</v>
      </c>
      <c r="F263" s="2" t="s">
        <v>35</v>
      </c>
      <c r="G263" s="2" t="s">
        <v>33</v>
      </c>
      <c r="H263">
        <v>1</v>
      </c>
      <c r="I263">
        <v>700</v>
      </c>
      <c r="J263">
        <v>700</v>
      </c>
      <c r="K263">
        <f>Table1_2[[#This Row],[Sales]]-Table1_2[[#This Row],[Cost]]</f>
        <v>0</v>
      </c>
    </row>
    <row r="264" spans="1:11" x14ac:dyDescent="0.35">
      <c r="A264" s="2" t="s">
        <v>285</v>
      </c>
      <c r="B264" s="1">
        <v>45770</v>
      </c>
      <c r="C264" s="2" t="s">
        <v>326</v>
      </c>
      <c r="D264">
        <v>2025</v>
      </c>
      <c r="E264" s="2" t="s">
        <v>17</v>
      </c>
      <c r="F264" s="2" t="s">
        <v>18</v>
      </c>
      <c r="G264" s="2" t="s">
        <v>19</v>
      </c>
      <c r="H264">
        <v>5</v>
      </c>
      <c r="I264">
        <v>1200</v>
      </c>
      <c r="J264">
        <v>6000</v>
      </c>
      <c r="K264">
        <f>Table1_2[[#This Row],[Sales]]-Table1_2[[#This Row],[Cost]]</f>
        <v>4800</v>
      </c>
    </row>
    <row r="265" spans="1:11" x14ac:dyDescent="0.35">
      <c r="A265" s="2" t="s">
        <v>286</v>
      </c>
      <c r="B265" s="1">
        <v>45347</v>
      </c>
      <c r="C265" s="2" t="s">
        <v>334</v>
      </c>
      <c r="D265">
        <v>2024</v>
      </c>
      <c r="E265" s="2" t="s">
        <v>9</v>
      </c>
      <c r="F265" s="2" t="s">
        <v>29</v>
      </c>
      <c r="G265" s="2" t="s">
        <v>11</v>
      </c>
      <c r="H265">
        <v>4</v>
      </c>
      <c r="I265">
        <v>1200</v>
      </c>
      <c r="J265">
        <v>4800</v>
      </c>
      <c r="K265">
        <f>Table1_2[[#This Row],[Sales]]-Table1_2[[#This Row],[Cost]]</f>
        <v>3600</v>
      </c>
    </row>
    <row r="266" spans="1:11" x14ac:dyDescent="0.35">
      <c r="A266" s="2" t="s">
        <v>287</v>
      </c>
      <c r="B266" s="1">
        <v>45981</v>
      </c>
      <c r="C266" s="2" t="s">
        <v>331</v>
      </c>
      <c r="D266">
        <v>2025</v>
      </c>
      <c r="E266" s="2" t="s">
        <v>13</v>
      </c>
      <c r="F266" s="2" t="s">
        <v>63</v>
      </c>
      <c r="G266" s="2" t="s">
        <v>33</v>
      </c>
      <c r="H266">
        <v>3</v>
      </c>
      <c r="I266">
        <v>1000</v>
      </c>
      <c r="J266">
        <v>3000</v>
      </c>
      <c r="K266">
        <f>Table1_2[[#This Row],[Sales]]-Table1_2[[#This Row],[Cost]]</f>
        <v>2000</v>
      </c>
    </row>
    <row r="267" spans="1:11" x14ac:dyDescent="0.35">
      <c r="A267" s="2" t="s">
        <v>288</v>
      </c>
      <c r="B267" s="1">
        <v>45961</v>
      </c>
      <c r="C267" s="2" t="s">
        <v>325</v>
      </c>
      <c r="D267">
        <v>2025</v>
      </c>
      <c r="E267" s="2" t="s">
        <v>9</v>
      </c>
      <c r="F267" s="2" t="s">
        <v>29</v>
      </c>
      <c r="G267" s="2" t="s">
        <v>15</v>
      </c>
      <c r="H267">
        <v>3</v>
      </c>
      <c r="I267">
        <v>1200</v>
      </c>
      <c r="J267">
        <v>3600</v>
      </c>
      <c r="K267">
        <f>Table1_2[[#This Row],[Sales]]-Table1_2[[#This Row],[Cost]]</f>
        <v>2400</v>
      </c>
    </row>
    <row r="268" spans="1:11" x14ac:dyDescent="0.35">
      <c r="A268" s="2" t="s">
        <v>289</v>
      </c>
      <c r="B268" s="1">
        <v>45953</v>
      </c>
      <c r="C268" s="2" t="s">
        <v>325</v>
      </c>
      <c r="D268">
        <v>2025</v>
      </c>
      <c r="E268" s="2" t="s">
        <v>9</v>
      </c>
      <c r="F268" s="2" t="s">
        <v>10</v>
      </c>
      <c r="G268" s="2" t="s">
        <v>19</v>
      </c>
      <c r="H268">
        <v>2</v>
      </c>
      <c r="I268">
        <v>500</v>
      </c>
      <c r="J268">
        <v>1000</v>
      </c>
      <c r="K268">
        <f>Table1_2[[#This Row],[Sales]]-Table1_2[[#This Row],[Cost]]</f>
        <v>500</v>
      </c>
    </row>
    <row r="269" spans="1:11" x14ac:dyDescent="0.35">
      <c r="A269" s="2" t="s">
        <v>290</v>
      </c>
      <c r="B269" s="1">
        <v>45392</v>
      </c>
      <c r="C269" s="2" t="s">
        <v>326</v>
      </c>
      <c r="D269">
        <v>2024</v>
      </c>
      <c r="E269" s="2" t="s">
        <v>17</v>
      </c>
      <c r="F269" s="2" t="s">
        <v>18</v>
      </c>
      <c r="G269" s="2" t="s">
        <v>19</v>
      </c>
      <c r="H269">
        <v>1</v>
      </c>
      <c r="I269">
        <v>1200</v>
      </c>
      <c r="J269">
        <v>1200</v>
      </c>
      <c r="K269">
        <f>Table1_2[[#This Row],[Sales]]-Table1_2[[#This Row],[Cost]]</f>
        <v>0</v>
      </c>
    </row>
    <row r="270" spans="1:11" x14ac:dyDescent="0.35">
      <c r="A270" s="2" t="s">
        <v>291</v>
      </c>
      <c r="B270" s="1">
        <v>45354</v>
      </c>
      <c r="C270" s="2" t="s">
        <v>333</v>
      </c>
      <c r="D270">
        <v>2024</v>
      </c>
      <c r="E270" s="2" t="s">
        <v>13</v>
      </c>
      <c r="F270" s="2" t="s">
        <v>63</v>
      </c>
      <c r="G270" s="2" t="s">
        <v>15</v>
      </c>
      <c r="H270">
        <v>1</v>
      </c>
      <c r="I270">
        <v>1000</v>
      </c>
      <c r="J270">
        <v>1000</v>
      </c>
      <c r="K270">
        <f>Table1_2[[#This Row],[Sales]]-Table1_2[[#This Row],[Cost]]</f>
        <v>0</v>
      </c>
    </row>
    <row r="271" spans="1:11" x14ac:dyDescent="0.35">
      <c r="A271" s="2" t="s">
        <v>292</v>
      </c>
      <c r="B271" s="1">
        <v>45704</v>
      </c>
      <c r="C271" s="2" t="s">
        <v>334</v>
      </c>
      <c r="D271">
        <v>2025</v>
      </c>
      <c r="E271" s="2" t="s">
        <v>13</v>
      </c>
      <c r="F271" s="2" t="s">
        <v>21</v>
      </c>
      <c r="G271" s="2" t="s">
        <v>33</v>
      </c>
      <c r="H271">
        <v>3</v>
      </c>
      <c r="I271">
        <v>1500</v>
      </c>
      <c r="J271">
        <v>4500</v>
      </c>
      <c r="K271">
        <f>Table1_2[[#This Row],[Sales]]-Table1_2[[#This Row],[Cost]]</f>
        <v>3000</v>
      </c>
    </row>
    <row r="272" spans="1:11" x14ac:dyDescent="0.35">
      <c r="A272" s="2" t="s">
        <v>293</v>
      </c>
      <c r="B272" s="1">
        <v>45639</v>
      </c>
      <c r="C272" s="2" t="s">
        <v>336</v>
      </c>
      <c r="D272">
        <v>2024</v>
      </c>
      <c r="E272" s="2" t="s">
        <v>17</v>
      </c>
      <c r="F272" s="2" t="s">
        <v>18</v>
      </c>
      <c r="G272" s="2" t="s">
        <v>15</v>
      </c>
      <c r="H272">
        <v>1</v>
      </c>
      <c r="I272">
        <v>1200</v>
      </c>
      <c r="J272">
        <v>1200</v>
      </c>
      <c r="K272">
        <f>Table1_2[[#This Row],[Sales]]-Table1_2[[#This Row],[Cost]]</f>
        <v>0</v>
      </c>
    </row>
    <row r="273" spans="1:11" x14ac:dyDescent="0.35">
      <c r="A273" s="2" t="s">
        <v>294</v>
      </c>
      <c r="B273" s="1">
        <v>45403</v>
      </c>
      <c r="C273" s="2" t="s">
        <v>326</v>
      </c>
      <c r="D273">
        <v>2024</v>
      </c>
      <c r="E273" s="2" t="s">
        <v>9</v>
      </c>
      <c r="F273" s="2" t="s">
        <v>29</v>
      </c>
      <c r="G273" s="2" t="s">
        <v>15</v>
      </c>
      <c r="H273">
        <v>3</v>
      </c>
      <c r="I273">
        <v>1200</v>
      </c>
      <c r="J273">
        <v>3600</v>
      </c>
      <c r="K273">
        <f>Table1_2[[#This Row],[Sales]]-Table1_2[[#This Row],[Cost]]</f>
        <v>2400</v>
      </c>
    </row>
    <row r="274" spans="1:11" x14ac:dyDescent="0.35">
      <c r="A274" s="2" t="s">
        <v>295</v>
      </c>
      <c r="B274" s="1">
        <v>45546</v>
      </c>
      <c r="C274" s="2" t="s">
        <v>328</v>
      </c>
      <c r="D274">
        <v>2024</v>
      </c>
      <c r="E274" s="2" t="s">
        <v>13</v>
      </c>
      <c r="F274" s="2" t="s">
        <v>21</v>
      </c>
      <c r="G274" s="2" t="s">
        <v>19</v>
      </c>
      <c r="H274">
        <v>1</v>
      </c>
      <c r="I274">
        <v>1500</v>
      </c>
      <c r="J274">
        <v>1500</v>
      </c>
      <c r="K274">
        <f>Table1_2[[#This Row],[Sales]]-Table1_2[[#This Row],[Cost]]</f>
        <v>0</v>
      </c>
    </row>
    <row r="275" spans="1:11" x14ac:dyDescent="0.35">
      <c r="A275" s="2" t="s">
        <v>296</v>
      </c>
      <c r="B275" s="1">
        <v>45488</v>
      </c>
      <c r="C275" s="2" t="s">
        <v>332</v>
      </c>
      <c r="D275">
        <v>2024</v>
      </c>
      <c r="E275" s="2" t="s">
        <v>17</v>
      </c>
      <c r="F275" s="2" t="s">
        <v>18</v>
      </c>
      <c r="G275" s="2" t="s">
        <v>11</v>
      </c>
      <c r="H275">
        <v>2</v>
      </c>
      <c r="I275">
        <v>1200</v>
      </c>
      <c r="J275">
        <v>2400</v>
      </c>
      <c r="K275">
        <f>Table1_2[[#This Row],[Sales]]-Table1_2[[#This Row],[Cost]]</f>
        <v>1200</v>
      </c>
    </row>
    <row r="276" spans="1:11" x14ac:dyDescent="0.35">
      <c r="A276" s="2" t="s">
        <v>297</v>
      </c>
      <c r="B276" s="1">
        <v>45486</v>
      </c>
      <c r="C276" s="2" t="s">
        <v>332</v>
      </c>
      <c r="D276">
        <v>2024</v>
      </c>
      <c r="E276" s="2" t="s">
        <v>17</v>
      </c>
      <c r="F276" s="2" t="s">
        <v>18</v>
      </c>
      <c r="G276" s="2" t="s">
        <v>11</v>
      </c>
      <c r="H276">
        <v>5</v>
      </c>
      <c r="I276">
        <v>1200</v>
      </c>
      <c r="J276">
        <v>6000</v>
      </c>
      <c r="K276">
        <f>Table1_2[[#This Row],[Sales]]-Table1_2[[#This Row],[Cost]]</f>
        <v>4800</v>
      </c>
    </row>
    <row r="277" spans="1:11" x14ac:dyDescent="0.35">
      <c r="A277" s="2" t="s">
        <v>298</v>
      </c>
      <c r="B277" s="1">
        <v>45841</v>
      </c>
      <c r="C277" s="2" t="s">
        <v>332</v>
      </c>
      <c r="D277">
        <v>2025</v>
      </c>
      <c r="E277" s="2" t="s">
        <v>9</v>
      </c>
      <c r="F277" s="2" t="s">
        <v>10</v>
      </c>
      <c r="G277" s="2" t="s">
        <v>33</v>
      </c>
      <c r="H277">
        <v>4</v>
      </c>
      <c r="I277">
        <v>500</v>
      </c>
      <c r="J277">
        <v>2000</v>
      </c>
      <c r="K277">
        <f>Table1_2[[#This Row],[Sales]]-Table1_2[[#This Row],[Cost]]</f>
        <v>1500</v>
      </c>
    </row>
    <row r="278" spans="1:11" x14ac:dyDescent="0.35">
      <c r="A278" s="2" t="s">
        <v>299</v>
      </c>
      <c r="B278" s="1">
        <v>45751</v>
      </c>
      <c r="C278" s="2" t="s">
        <v>326</v>
      </c>
      <c r="D278">
        <v>2025</v>
      </c>
      <c r="E278" s="2" t="s">
        <v>13</v>
      </c>
      <c r="F278" s="2" t="s">
        <v>21</v>
      </c>
      <c r="G278" s="2" t="s">
        <v>15</v>
      </c>
      <c r="H278">
        <v>2</v>
      </c>
      <c r="I278">
        <v>1500</v>
      </c>
      <c r="J278">
        <v>3000</v>
      </c>
      <c r="K278">
        <f>Table1_2[[#This Row],[Sales]]-Table1_2[[#This Row],[Cost]]</f>
        <v>1500</v>
      </c>
    </row>
    <row r="279" spans="1:11" x14ac:dyDescent="0.35">
      <c r="A279" s="2" t="s">
        <v>300</v>
      </c>
      <c r="B279" s="1">
        <v>45435</v>
      </c>
      <c r="C279" s="2" t="s">
        <v>330</v>
      </c>
      <c r="D279">
        <v>2024</v>
      </c>
      <c r="E279" s="2" t="s">
        <v>17</v>
      </c>
      <c r="F279" s="2" t="s">
        <v>18</v>
      </c>
      <c r="G279" s="2" t="s">
        <v>11</v>
      </c>
      <c r="H279">
        <v>1</v>
      </c>
      <c r="I279">
        <v>1200</v>
      </c>
      <c r="J279">
        <v>1200</v>
      </c>
      <c r="K279">
        <f>Table1_2[[#This Row],[Sales]]-Table1_2[[#This Row],[Cost]]</f>
        <v>0</v>
      </c>
    </row>
    <row r="280" spans="1:11" x14ac:dyDescent="0.35">
      <c r="A280" s="2" t="s">
        <v>301</v>
      </c>
      <c r="B280" s="1">
        <v>45724</v>
      </c>
      <c r="C280" s="2" t="s">
        <v>333</v>
      </c>
      <c r="D280">
        <v>2025</v>
      </c>
      <c r="E280" s="2" t="s">
        <v>9</v>
      </c>
      <c r="F280" s="2" t="s">
        <v>27</v>
      </c>
      <c r="G280" s="2" t="s">
        <v>11</v>
      </c>
      <c r="H280">
        <v>6</v>
      </c>
      <c r="I280">
        <v>2500</v>
      </c>
      <c r="J280">
        <v>15000</v>
      </c>
      <c r="K280">
        <f>Table1_2[[#This Row],[Sales]]-Table1_2[[#This Row],[Cost]]</f>
        <v>12500</v>
      </c>
    </row>
    <row r="281" spans="1:11" x14ac:dyDescent="0.35">
      <c r="A281" s="2" t="s">
        <v>302</v>
      </c>
      <c r="B281" s="1">
        <v>45479</v>
      </c>
      <c r="C281" s="2" t="s">
        <v>332</v>
      </c>
      <c r="D281">
        <v>2024</v>
      </c>
      <c r="E281" s="2" t="s">
        <v>9</v>
      </c>
      <c r="F281" s="2" t="s">
        <v>29</v>
      </c>
      <c r="G281" s="2" t="s">
        <v>33</v>
      </c>
      <c r="H281">
        <v>6</v>
      </c>
      <c r="I281">
        <v>1200</v>
      </c>
      <c r="J281">
        <v>7200</v>
      </c>
      <c r="K281">
        <f>Table1_2[[#This Row],[Sales]]-Table1_2[[#This Row],[Cost]]</f>
        <v>6000</v>
      </c>
    </row>
    <row r="282" spans="1:11" x14ac:dyDescent="0.35">
      <c r="A282" s="2" t="s">
        <v>303</v>
      </c>
      <c r="B282" s="1">
        <v>45577</v>
      </c>
      <c r="C282" s="2" t="s">
        <v>325</v>
      </c>
      <c r="D282">
        <v>2024</v>
      </c>
      <c r="E282" s="2" t="s">
        <v>13</v>
      </c>
      <c r="F282" s="2" t="s">
        <v>14</v>
      </c>
      <c r="G282" s="2" t="s">
        <v>33</v>
      </c>
      <c r="H282">
        <v>2</v>
      </c>
      <c r="I282">
        <v>2000</v>
      </c>
      <c r="J282">
        <v>4000</v>
      </c>
      <c r="K282">
        <f>Table1_2[[#This Row],[Sales]]-Table1_2[[#This Row],[Cost]]</f>
        <v>2000</v>
      </c>
    </row>
    <row r="283" spans="1:11" x14ac:dyDescent="0.35">
      <c r="A283" s="2" t="s">
        <v>304</v>
      </c>
      <c r="B283" s="1">
        <v>45765</v>
      </c>
      <c r="C283" s="2" t="s">
        <v>326</v>
      </c>
      <c r="D283">
        <v>2025</v>
      </c>
      <c r="E283" s="2" t="s">
        <v>13</v>
      </c>
      <c r="F283" s="2" t="s">
        <v>21</v>
      </c>
      <c r="G283" s="2" t="s">
        <v>11</v>
      </c>
      <c r="H283">
        <v>2</v>
      </c>
      <c r="I283">
        <v>1500</v>
      </c>
      <c r="J283">
        <v>3000</v>
      </c>
      <c r="K283">
        <f>Table1_2[[#This Row],[Sales]]-Table1_2[[#This Row],[Cost]]</f>
        <v>1500</v>
      </c>
    </row>
    <row r="284" spans="1:11" x14ac:dyDescent="0.35">
      <c r="A284" s="2" t="s">
        <v>305</v>
      </c>
      <c r="B284" s="1">
        <v>45547</v>
      </c>
      <c r="C284" s="2" t="s">
        <v>328</v>
      </c>
      <c r="D284">
        <v>2024</v>
      </c>
      <c r="E284" s="2" t="s">
        <v>13</v>
      </c>
      <c r="F284" s="2" t="s">
        <v>14</v>
      </c>
      <c r="G284" s="2" t="s">
        <v>15</v>
      </c>
      <c r="H284">
        <v>3</v>
      </c>
      <c r="I284">
        <v>2000</v>
      </c>
      <c r="J284">
        <v>6000</v>
      </c>
      <c r="K284">
        <f>Table1_2[[#This Row],[Sales]]-Table1_2[[#This Row],[Cost]]</f>
        <v>4000</v>
      </c>
    </row>
    <row r="285" spans="1:11" x14ac:dyDescent="0.35">
      <c r="A285" s="2" t="s">
        <v>306</v>
      </c>
      <c r="B285" s="1">
        <v>45369</v>
      </c>
      <c r="C285" s="2" t="s">
        <v>333</v>
      </c>
      <c r="D285">
        <v>2024</v>
      </c>
      <c r="E285" s="2" t="s">
        <v>17</v>
      </c>
      <c r="F285" s="2" t="s">
        <v>18</v>
      </c>
      <c r="G285" s="2" t="s">
        <v>15</v>
      </c>
      <c r="H285">
        <v>1</v>
      </c>
      <c r="I285">
        <v>1200</v>
      </c>
      <c r="J285">
        <v>1200</v>
      </c>
      <c r="K285">
        <f>Table1_2[[#This Row],[Sales]]-Table1_2[[#This Row],[Cost]]</f>
        <v>0</v>
      </c>
    </row>
    <row r="286" spans="1:11" x14ac:dyDescent="0.35">
      <c r="A286" s="2" t="s">
        <v>307</v>
      </c>
      <c r="B286" s="1">
        <v>45745</v>
      </c>
      <c r="C286" s="2" t="s">
        <v>333</v>
      </c>
      <c r="D286">
        <v>2025</v>
      </c>
      <c r="E286" s="2" t="s">
        <v>9</v>
      </c>
      <c r="F286" s="2" t="s">
        <v>10</v>
      </c>
      <c r="G286" s="2" t="s">
        <v>11</v>
      </c>
      <c r="H286">
        <v>1</v>
      </c>
      <c r="I286">
        <v>500</v>
      </c>
      <c r="J286">
        <v>500</v>
      </c>
      <c r="K286">
        <f>Table1_2[[#This Row],[Sales]]-Table1_2[[#This Row],[Cost]]</f>
        <v>0</v>
      </c>
    </row>
    <row r="287" spans="1:11" x14ac:dyDescent="0.35">
      <c r="A287" s="2" t="s">
        <v>308</v>
      </c>
      <c r="B287" s="1">
        <v>45855</v>
      </c>
      <c r="C287" s="2" t="s">
        <v>332</v>
      </c>
      <c r="D287">
        <v>2025</v>
      </c>
      <c r="E287" s="2" t="s">
        <v>9</v>
      </c>
      <c r="F287" s="2" t="s">
        <v>27</v>
      </c>
      <c r="G287" s="2" t="s">
        <v>19</v>
      </c>
      <c r="H287">
        <v>2</v>
      </c>
      <c r="I287">
        <v>2500</v>
      </c>
      <c r="J287">
        <v>5000</v>
      </c>
      <c r="K287">
        <f>Table1_2[[#This Row],[Sales]]-Table1_2[[#This Row],[Cost]]</f>
        <v>2500</v>
      </c>
    </row>
    <row r="288" spans="1:11" x14ac:dyDescent="0.35">
      <c r="A288" s="2" t="s">
        <v>309</v>
      </c>
      <c r="B288" s="1">
        <v>45392</v>
      </c>
      <c r="C288" s="2" t="s">
        <v>326</v>
      </c>
      <c r="D288">
        <v>2024</v>
      </c>
      <c r="E288" s="2" t="s">
        <v>13</v>
      </c>
      <c r="F288" s="2" t="s">
        <v>14</v>
      </c>
      <c r="G288" s="2" t="s">
        <v>15</v>
      </c>
      <c r="H288">
        <v>1</v>
      </c>
      <c r="I288">
        <v>2000</v>
      </c>
      <c r="J288">
        <v>2000</v>
      </c>
      <c r="K288">
        <f>Table1_2[[#This Row],[Sales]]-Table1_2[[#This Row],[Cost]]</f>
        <v>0</v>
      </c>
    </row>
    <row r="289" spans="1:11" x14ac:dyDescent="0.35">
      <c r="A289" s="2" t="s">
        <v>310</v>
      </c>
      <c r="B289" s="1">
        <v>45343</v>
      </c>
      <c r="C289" s="2" t="s">
        <v>334</v>
      </c>
      <c r="D289">
        <v>2024</v>
      </c>
      <c r="E289" s="2" t="s">
        <v>9</v>
      </c>
      <c r="F289" s="2" t="s">
        <v>10</v>
      </c>
      <c r="G289" s="2" t="s">
        <v>33</v>
      </c>
      <c r="H289">
        <v>2</v>
      </c>
      <c r="I289">
        <v>500</v>
      </c>
      <c r="J289">
        <v>1000</v>
      </c>
      <c r="K289">
        <f>Table1_2[[#This Row],[Sales]]-Table1_2[[#This Row],[Cost]]</f>
        <v>500</v>
      </c>
    </row>
    <row r="290" spans="1:11" x14ac:dyDescent="0.35">
      <c r="A290" s="2" t="s">
        <v>311</v>
      </c>
      <c r="B290" s="1">
        <v>45959</v>
      </c>
      <c r="C290" s="2" t="s">
        <v>325</v>
      </c>
      <c r="D290">
        <v>2025</v>
      </c>
      <c r="E290" s="2" t="s">
        <v>9</v>
      </c>
      <c r="F290" s="2" t="s">
        <v>27</v>
      </c>
      <c r="G290" s="2" t="s">
        <v>19</v>
      </c>
      <c r="H290">
        <v>5</v>
      </c>
      <c r="I290">
        <v>2500</v>
      </c>
      <c r="J290">
        <v>12500</v>
      </c>
      <c r="K290">
        <f>Table1_2[[#This Row],[Sales]]-Table1_2[[#This Row],[Cost]]</f>
        <v>10000</v>
      </c>
    </row>
    <row r="291" spans="1:11" x14ac:dyDescent="0.35">
      <c r="A291" s="2" t="s">
        <v>312</v>
      </c>
      <c r="B291" s="1">
        <v>45845</v>
      </c>
      <c r="C291" s="2" t="s">
        <v>332</v>
      </c>
      <c r="D291">
        <v>2025</v>
      </c>
      <c r="E291" s="2" t="s">
        <v>17</v>
      </c>
      <c r="F291" s="2" t="s">
        <v>18</v>
      </c>
      <c r="G291" s="2" t="s">
        <v>11</v>
      </c>
      <c r="H291">
        <v>4</v>
      </c>
      <c r="I291">
        <v>1200</v>
      </c>
      <c r="J291">
        <v>4800</v>
      </c>
      <c r="K291">
        <f>Table1_2[[#This Row],[Sales]]-Table1_2[[#This Row],[Cost]]</f>
        <v>3600</v>
      </c>
    </row>
    <row r="292" spans="1:11" x14ac:dyDescent="0.35">
      <c r="A292" s="2" t="s">
        <v>313</v>
      </c>
      <c r="B292" s="1">
        <v>45307</v>
      </c>
      <c r="C292" s="2" t="s">
        <v>327</v>
      </c>
      <c r="D292">
        <v>2024</v>
      </c>
      <c r="E292" s="2" t="s">
        <v>17</v>
      </c>
      <c r="F292" s="2" t="s">
        <v>18</v>
      </c>
      <c r="G292" s="2" t="s">
        <v>33</v>
      </c>
      <c r="H292">
        <v>1</v>
      </c>
      <c r="I292">
        <v>1200</v>
      </c>
      <c r="J292">
        <v>1200</v>
      </c>
      <c r="K292">
        <f>Table1_2[[#This Row],[Sales]]-Table1_2[[#This Row],[Cost]]</f>
        <v>0</v>
      </c>
    </row>
    <row r="293" spans="1:11" x14ac:dyDescent="0.35">
      <c r="A293" s="2" t="s">
        <v>314</v>
      </c>
      <c r="B293" s="1">
        <v>45387</v>
      </c>
      <c r="C293" s="2" t="s">
        <v>326</v>
      </c>
      <c r="D293">
        <v>2024</v>
      </c>
      <c r="E293" s="2" t="s">
        <v>13</v>
      </c>
      <c r="F293" s="2" t="s">
        <v>21</v>
      </c>
      <c r="G293" s="2" t="s">
        <v>15</v>
      </c>
      <c r="H293">
        <v>3</v>
      </c>
      <c r="I293">
        <v>1500</v>
      </c>
      <c r="J293">
        <v>4500</v>
      </c>
      <c r="K293">
        <f>Table1_2[[#This Row],[Sales]]-Table1_2[[#This Row],[Cost]]</f>
        <v>3000</v>
      </c>
    </row>
    <row r="294" spans="1:11" x14ac:dyDescent="0.35">
      <c r="A294" s="2" t="s">
        <v>315</v>
      </c>
      <c r="B294" s="1">
        <v>45534</v>
      </c>
      <c r="C294" s="2" t="s">
        <v>329</v>
      </c>
      <c r="D294">
        <v>2024</v>
      </c>
      <c r="E294" s="2" t="s">
        <v>13</v>
      </c>
      <c r="F294" s="2" t="s">
        <v>63</v>
      </c>
      <c r="G294" s="2" t="s">
        <v>33</v>
      </c>
      <c r="H294">
        <v>2</v>
      </c>
      <c r="I294">
        <v>1000</v>
      </c>
      <c r="J294">
        <v>2000</v>
      </c>
      <c r="K294">
        <f>Table1_2[[#This Row],[Sales]]-Table1_2[[#This Row],[Cost]]</f>
        <v>1000</v>
      </c>
    </row>
    <row r="295" spans="1:11" x14ac:dyDescent="0.35">
      <c r="A295" s="2" t="s">
        <v>316</v>
      </c>
      <c r="B295" s="1">
        <v>45462</v>
      </c>
      <c r="C295" s="2" t="s">
        <v>335</v>
      </c>
      <c r="D295">
        <v>2024</v>
      </c>
      <c r="E295" s="2" t="s">
        <v>9</v>
      </c>
      <c r="F295" s="2" t="s">
        <v>10</v>
      </c>
      <c r="G295" s="2" t="s">
        <v>11</v>
      </c>
      <c r="H295">
        <v>3</v>
      </c>
      <c r="I295">
        <v>500</v>
      </c>
      <c r="J295">
        <v>1500</v>
      </c>
      <c r="K295">
        <f>Table1_2[[#This Row],[Sales]]-Table1_2[[#This Row],[Cost]]</f>
        <v>1000</v>
      </c>
    </row>
    <row r="296" spans="1:11" x14ac:dyDescent="0.35">
      <c r="A296" s="2" t="s">
        <v>317</v>
      </c>
      <c r="B296" s="1">
        <v>45708</v>
      </c>
      <c r="C296" s="2" t="s">
        <v>334</v>
      </c>
      <c r="D296">
        <v>2025</v>
      </c>
      <c r="E296" s="2" t="s">
        <v>9</v>
      </c>
      <c r="F296" s="2" t="s">
        <v>29</v>
      </c>
      <c r="G296" s="2" t="s">
        <v>33</v>
      </c>
      <c r="H296">
        <v>6</v>
      </c>
      <c r="I296">
        <v>1200</v>
      </c>
      <c r="J296">
        <v>7200</v>
      </c>
      <c r="K296">
        <f>Table1_2[[#This Row],[Sales]]-Table1_2[[#This Row],[Cost]]</f>
        <v>6000</v>
      </c>
    </row>
    <row r="297" spans="1:11" x14ac:dyDescent="0.35">
      <c r="A297" s="2" t="s">
        <v>318</v>
      </c>
      <c r="B297" s="1">
        <v>45789</v>
      </c>
      <c r="C297" s="2" t="s">
        <v>330</v>
      </c>
      <c r="D297">
        <v>2025</v>
      </c>
      <c r="E297" s="2" t="s">
        <v>13</v>
      </c>
      <c r="F297" s="2" t="s">
        <v>21</v>
      </c>
      <c r="G297" s="2" t="s">
        <v>33</v>
      </c>
      <c r="H297">
        <v>1</v>
      </c>
      <c r="I297">
        <v>1500</v>
      </c>
      <c r="J297">
        <v>1500</v>
      </c>
      <c r="K297">
        <f>Table1_2[[#This Row],[Sales]]-Table1_2[[#This Row],[Cost]]</f>
        <v>0</v>
      </c>
    </row>
    <row r="298" spans="1:11" x14ac:dyDescent="0.35">
      <c r="A298" s="2" t="s">
        <v>319</v>
      </c>
      <c r="B298" s="1">
        <v>45784</v>
      </c>
      <c r="C298" s="2" t="s">
        <v>330</v>
      </c>
      <c r="D298">
        <v>2025</v>
      </c>
      <c r="E298" s="2" t="s">
        <v>9</v>
      </c>
      <c r="F298" s="2" t="s">
        <v>10</v>
      </c>
      <c r="G298" s="2" t="s">
        <v>33</v>
      </c>
      <c r="H298">
        <v>5</v>
      </c>
      <c r="I298">
        <v>500</v>
      </c>
      <c r="J298">
        <v>2500</v>
      </c>
      <c r="K298">
        <f>Table1_2[[#This Row],[Sales]]-Table1_2[[#This Row],[Cost]]</f>
        <v>2000</v>
      </c>
    </row>
    <row r="299" spans="1:11" x14ac:dyDescent="0.35">
      <c r="A299" s="2" t="s">
        <v>320</v>
      </c>
      <c r="B299" s="1">
        <v>45510</v>
      </c>
      <c r="C299" s="2" t="s">
        <v>329</v>
      </c>
      <c r="D299">
        <v>2024</v>
      </c>
      <c r="E299" s="2" t="s">
        <v>9</v>
      </c>
      <c r="F299" s="2" t="s">
        <v>27</v>
      </c>
      <c r="G299" s="2" t="s">
        <v>15</v>
      </c>
      <c r="H299">
        <v>6</v>
      </c>
      <c r="I299">
        <v>2500</v>
      </c>
      <c r="J299">
        <v>15000</v>
      </c>
      <c r="K299">
        <f>Table1_2[[#This Row],[Sales]]-Table1_2[[#This Row],[Cost]]</f>
        <v>12500</v>
      </c>
    </row>
    <row r="300" spans="1:11" x14ac:dyDescent="0.35">
      <c r="A300" s="2" t="s">
        <v>321</v>
      </c>
      <c r="B300" s="1">
        <v>45702</v>
      </c>
      <c r="C300" s="2" t="s">
        <v>334</v>
      </c>
      <c r="D300">
        <v>2025</v>
      </c>
      <c r="E300" s="2" t="s">
        <v>13</v>
      </c>
      <c r="F300" s="2" t="s">
        <v>21</v>
      </c>
      <c r="G300" s="2" t="s">
        <v>15</v>
      </c>
      <c r="H300">
        <v>1</v>
      </c>
      <c r="I300">
        <v>1500</v>
      </c>
      <c r="J300">
        <v>1500</v>
      </c>
      <c r="K300">
        <f>Table1_2[[#This Row],[Sales]]-Table1_2[[#This Row],[Cost]]</f>
        <v>0</v>
      </c>
    </row>
    <row r="301" spans="1:11" x14ac:dyDescent="0.35">
      <c r="A301" s="2" t="s">
        <v>322</v>
      </c>
      <c r="B301" s="1">
        <v>45352</v>
      </c>
      <c r="C301" s="2" t="s">
        <v>333</v>
      </c>
      <c r="D301">
        <v>2024</v>
      </c>
      <c r="E301" s="2" t="s">
        <v>9</v>
      </c>
      <c r="F301" s="2" t="s">
        <v>35</v>
      </c>
      <c r="G301" s="2" t="s">
        <v>19</v>
      </c>
      <c r="H301">
        <v>3</v>
      </c>
      <c r="I301">
        <v>700</v>
      </c>
      <c r="J301">
        <v>2100</v>
      </c>
      <c r="K301">
        <f>Table1_2[[#This Row],[Sales]]-Table1_2[[#This Row],[Cost]]</f>
        <v>1400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50" zoomScaleNormal="50" workbookViewId="0">
      <selection activeCell="AA27" sqref="AA27"/>
    </sheetView>
  </sheetViews>
  <sheetFormatPr defaultRowHeight="14.5" x14ac:dyDescent="0.35"/>
  <cols>
    <col min="1" max="16384" width="8.726562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7CBD5-B6B3-4145-B85E-BC90D74F27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OHIOLE</dc:creator>
  <cp:lastModifiedBy>DELL</cp:lastModifiedBy>
  <dcterms:created xsi:type="dcterms:W3CDTF">2026-01-13T14:35:58Z</dcterms:created>
  <dcterms:modified xsi:type="dcterms:W3CDTF">2026-01-15T12:48:12Z</dcterms:modified>
</cp:coreProperties>
</file>